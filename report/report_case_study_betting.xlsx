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fortuna game\Příprava na test - vlastní dataset\"/>
    </mc:Choice>
  </mc:AlternateContent>
  <xr:revisionPtr revIDLastSave="0" documentId="13_ncr:1_{157C5A3D-83A7-4681-9EEE-361980217925}" xr6:coauthVersionLast="47" xr6:coauthVersionMax="47" xr10:uidLastSave="{00000000-0000-0000-0000-000000000000}"/>
  <bookViews>
    <workbookView xWindow="28680" yWindow="30" windowWidth="29040" windowHeight="15840" xr2:uid="{5A8EEA1A-1CA1-49C7-814A-2FCFF61C8122}"/>
  </bookViews>
  <sheets>
    <sheet name="Management summary" sheetId="11" r:id="rId1"/>
    <sheet name="Zadání" sheetId="2" r:id="rId2"/>
    <sheet name="legenda" sheetId="6" r:id="rId3"/>
    <sheet name="Customers" sheetId="1" r:id="rId4"/>
    <sheet name="Activity_90d" sheetId="3" r:id="rId5"/>
    <sheet name="Campaign_AB" sheetId="4" r:id="rId6"/>
    <sheet name="č.1_ úkol " sheetId="5" r:id="rId7"/>
    <sheet name="KPI" sheetId="7" r:id="rId8"/>
    <sheet name="č.3_Segmentace zákazníků" sheetId="8" r:id="rId9"/>
    <sheet name="č.5 Korelace" sheetId="9" r:id="rId10"/>
    <sheet name="č.5Korelace_b" sheetId="10" r:id="rId11"/>
  </sheets>
  <definedNames>
    <definedName name="_xlnm._FilterDatabase" localSheetId="4" hidden="1">Activity_90d!$A$1:$L$1</definedName>
    <definedName name="_xlnm._FilterDatabase" localSheetId="5" hidden="1">Campaign_AB!$A$1:$J$1</definedName>
    <definedName name="_xlnm._FilterDatabase" localSheetId="3" hidden="1">Customers!$A$1:$L$1</definedName>
    <definedName name="_xlnm._FilterDatabase" localSheetId="8" hidden="1">'č.3_Segmentace zákazníků'!$A$1:$E$1</definedName>
    <definedName name="_xlnm._FilterDatabase" localSheetId="9" hidden="1">'č.5 Korelace'!$A$6:$A$6</definedName>
    <definedName name="_xlnm._FilterDatabase" localSheetId="10" hidden="1">č.5Korelace_b!$A$1:$B$1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11" l="1"/>
  <c r="F78" i="11"/>
  <c r="E78" i="11"/>
  <c r="D78" i="11"/>
  <c r="C78" i="11"/>
  <c r="B78" i="11"/>
  <c r="G77" i="11"/>
  <c r="F77" i="11"/>
  <c r="E77" i="11"/>
  <c r="D77" i="11"/>
  <c r="C77" i="11"/>
  <c r="B77" i="11"/>
  <c r="G6" i="11"/>
  <c r="F6" i="11"/>
  <c r="E6" i="11"/>
  <c r="D6" i="11"/>
  <c r="C6" i="11"/>
  <c r="B6" i="11"/>
  <c r="A6" i="11"/>
  <c r="D2" i="10"/>
  <c r="D7" i="9"/>
  <c r="G18" i="4"/>
  <c r="G17" i="4"/>
  <c r="F18" i="4"/>
  <c r="F17" i="4"/>
  <c r="E18" i="4"/>
  <c r="E17" i="4"/>
  <c r="D18" i="4"/>
  <c r="D17" i="4"/>
  <c r="C18" i="4"/>
  <c r="C17" i="4"/>
  <c r="B18" i="4"/>
  <c r="B17" i="4"/>
  <c r="K3" i="8"/>
  <c r="E3" i="8"/>
  <c r="E4" i="8"/>
  <c r="E5" i="8"/>
  <c r="E6" i="8"/>
  <c r="E7" i="8"/>
  <c r="E8" i="8"/>
  <c r="E9" i="8"/>
  <c r="E10" i="8"/>
  <c r="E11" i="8"/>
  <c r="E12" i="8"/>
  <c r="E13" i="8"/>
  <c r="E2" i="8"/>
  <c r="L3" i="1"/>
  <c r="L4" i="1"/>
  <c r="L5" i="1"/>
  <c r="L6" i="1"/>
  <c r="L7" i="1"/>
  <c r="L8" i="1"/>
  <c r="L9" i="1"/>
  <c r="L10" i="1"/>
  <c r="L11" i="1"/>
  <c r="L12" i="1"/>
  <c r="L13" i="1"/>
  <c r="L2" i="1"/>
  <c r="B4" i="7" l="1"/>
  <c r="G4" i="7"/>
  <c r="F4" i="7"/>
  <c r="E4" i="7"/>
  <c r="D4" i="7"/>
  <c r="C4" i="7"/>
  <c r="A4" i="7"/>
</calcChain>
</file>

<file path=xl/sharedStrings.xml><?xml version="1.0" encoding="utf-8"?>
<sst xmlns="http://schemas.openxmlformats.org/spreadsheetml/2006/main" count="479" uniqueCount="284">
  <si>
    <t>customer_id</t>
  </si>
  <si>
    <t>registration_date</t>
  </si>
  <si>
    <t>acquisition_channel</t>
  </si>
  <si>
    <t>region</t>
  </si>
  <si>
    <t>device_type</t>
  </si>
  <si>
    <t>age_group</t>
  </si>
  <si>
    <t>is_verified</t>
  </si>
  <si>
    <t>first_deposit_amount</t>
  </si>
  <si>
    <t>days_to_first_bet</t>
  </si>
  <si>
    <t>bonus_received</t>
  </si>
  <si>
    <t>segment_prelabel</t>
  </si>
  <si>
    <t>C001</t>
  </si>
  <si>
    <t>PPC</t>
  </si>
  <si>
    <t>Praha</t>
  </si>
  <si>
    <t>Mobile</t>
  </si>
  <si>
    <t>25-34</t>
  </si>
  <si>
    <t>New</t>
  </si>
  <si>
    <t>C002</t>
  </si>
  <si>
    <t>CRM</t>
  </si>
  <si>
    <t>Brno</t>
  </si>
  <si>
    <t>Desktop</t>
  </si>
  <si>
    <t>35-44</t>
  </si>
  <si>
    <t>Regular</t>
  </si>
  <si>
    <t>C003</t>
  </si>
  <si>
    <t>Organic</t>
  </si>
  <si>
    <t>Ostrava</t>
  </si>
  <si>
    <t>18-24</t>
  </si>
  <si>
    <t>C004</t>
  </si>
  <si>
    <t>Affiliate</t>
  </si>
  <si>
    <t>Casual</t>
  </si>
  <si>
    <t>C005</t>
  </si>
  <si>
    <t>Plzeň</t>
  </si>
  <si>
    <t>45-54</t>
  </si>
  <si>
    <t>VIP-like</t>
  </si>
  <si>
    <t>C006</t>
  </si>
  <si>
    <t>C007</t>
  </si>
  <si>
    <t>C008</t>
  </si>
  <si>
    <t>Liberec</t>
  </si>
  <si>
    <t>55+</t>
  </si>
  <si>
    <t>C009</t>
  </si>
  <si>
    <t>C010</t>
  </si>
  <si>
    <t>C011</t>
  </si>
  <si>
    <t>C012</t>
  </si>
  <si>
    <r>
      <t xml:space="preserve">List 1: </t>
    </r>
    <r>
      <rPr>
        <b/>
        <sz val="10"/>
        <color theme="1"/>
        <rFont val="Arial Unicode MS"/>
      </rPr>
      <t>Tasks</t>
    </r>
  </si>
  <si>
    <t>Vlož tento text do buněk A1:A40:</t>
  </si>
  <si>
    <t>Cell</t>
  </si>
  <si>
    <t>Value</t>
  </si>
  <si>
    <t>A1</t>
  </si>
  <si>
    <t>BUSINESS ANALYST CASE STUDY – FORTUNA</t>
  </si>
  <si>
    <t>A3</t>
  </si>
  <si>
    <t>Časový limit: 120 minut</t>
  </si>
  <si>
    <t>A4</t>
  </si>
  <si>
    <t>Pracujte pouze v Excelu. Zaměřte se na přesnost, přehlednost a business interpretaci.</t>
  </si>
  <si>
    <t>A6</t>
  </si>
  <si>
    <t>Odevzdání:</t>
  </si>
  <si>
    <t>A7</t>
  </si>
  <si>
    <t>1) Vyplněný Excel soubor</t>
  </si>
  <si>
    <t>A8</t>
  </si>
  <si>
    <t>2) Krátké manažerské shrnutí na listu Output</t>
  </si>
  <si>
    <t>A10</t>
  </si>
  <si>
    <t>Úkol 1 – Kontrola kvality dat</t>
  </si>
  <si>
    <t>A11</t>
  </si>
  <si>
    <t>Identifikujte alespoň 3 problémy v kvalitě dat a uveďte, jak mohou ovlivnit interpretaci výsledků.</t>
  </si>
  <si>
    <t>A13</t>
  </si>
  <si>
    <t>Úkol 2 – Základní KPI</t>
  </si>
  <si>
    <t>A14</t>
  </si>
  <si>
    <t>Spočítejte:</t>
  </si>
  <si>
    <t>A15</t>
  </si>
  <si>
    <t>- počet zákazníků celkem</t>
  </si>
  <si>
    <t>A16</t>
  </si>
  <si>
    <t>- podíl ověřených zákazníků</t>
  </si>
  <si>
    <t>A17</t>
  </si>
  <si>
    <t>- průměrný a mediánový first_deposit_amount</t>
  </si>
  <si>
    <t>A18</t>
  </si>
  <si>
    <t>- průměrný a mediánový gross_revenue_90d</t>
  </si>
  <si>
    <t>A19</t>
  </si>
  <si>
    <t>- podíl aktivních zákazníků</t>
  </si>
  <si>
    <t>A20</t>
  </si>
  <si>
    <t>- top 3 acquisition channels podle počtu zákazníků</t>
  </si>
  <si>
    <t>A21</t>
  </si>
  <si>
    <t>- top 3 acquisition channels podle gross_revenue_90d</t>
  </si>
  <si>
    <t>A23</t>
  </si>
  <si>
    <t>Úkol 3 – Segmentace zákazníků</t>
  </si>
  <si>
    <t>A24</t>
  </si>
  <si>
    <t>Vytvořte alespoň 3 segmenty zákazníků podle chování za 90 dní a pro každý uveďte počet zákazníků, průměrné gross_revenue_90d, průměrný počet sázek a průměr last_active_days_ago.</t>
  </si>
  <si>
    <t>A26</t>
  </si>
  <si>
    <t>Úkol 4 – Vyhodnocení A/B testu kampaně</t>
  </si>
  <si>
    <t>A27</t>
  </si>
  <si>
    <t>Pro skupiny A a B spočítejte: open rate, click rate, deposit rate do 7 dní, bet rate do 7 dní, average gross_revenue_7d a unsubscribe rate.</t>
  </si>
  <si>
    <t>A28</t>
  </si>
  <si>
    <t>Vyhodnoťte, která varianta fungovala lépe, podle jaké metriky a zda byste ji doporučili nasadit plošně.</t>
  </si>
  <si>
    <t>A30</t>
  </si>
  <si>
    <t>Úkol 5 – Korelace a souvislosti</t>
  </si>
  <si>
    <t>A31</t>
  </si>
  <si>
    <t>Vyberte 2–3 proměnné a zhodnoťte, zda mezi nimi vidíte zajímavý vztah. Použijte korelační koeficient, graf a krátký komentář.</t>
  </si>
  <si>
    <t>A33</t>
  </si>
  <si>
    <t>Úkol 6 – Doporučení pro management</t>
  </si>
  <si>
    <t>A34</t>
  </si>
  <si>
    <t>Na základě analýzy napište 3 hlavní insighty, 2 doporučení a 1 riziko nebo omezení analýzy.</t>
  </si>
  <si>
    <t>A36</t>
  </si>
  <si>
    <t>Poznámka</t>
  </si>
  <si>
    <t>A37</t>
  </si>
  <si>
    <t>Nejde jen o výpočty, ale i o to, co z dat plyne pro business rozhodování.</t>
  </si>
  <si>
    <t>bets_count_90d</t>
  </si>
  <si>
    <t>turnover_90d</t>
  </si>
  <si>
    <t>gross_revenue_90d</t>
  </si>
  <si>
    <t>active_days_90d</t>
  </si>
  <si>
    <t>sports_bets_count</t>
  </si>
  <si>
    <t>casino_sessions_count</t>
  </si>
  <si>
    <t>lottery_tickets_count</t>
  </si>
  <si>
    <t>last_active_days_ago</t>
  </si>
  <si>
    <t>deposits_count_90d</t>
  </si>
  <si>
    <t>avg_bet_amount</t>
  </si>
  <si>
    <t>used_bonus_90d</t>
  </si>
  <si>
    <t>test_group</t>
  </si>
  <si>
    <t>email_sent</t>
  </si>
  <si>
    <t>email_opened</t>
  </si>
  <si>
    <t>email_clicked</t>
  </si>
  <si>
    <t>deposit_within_7d</t>
  </si>
  <si>
    <t>bet_within_7d</t>
  </si>
  <si>
    <t>gross_revenue_7d</t>
  </si>
  <si>
    <t>unsubscribe</t>
  </si>
  <si>
    <t>send_hour</t>
  </si>
  <si>
    <t>A</t>
  </si>
  <si>
    <t>B</t>
  </si>
  <si>
    <t>Customers</t>
  </si>
  <si>
    <t>Sloupec</t>
  </si>
  <si>
    <t>Význam</t>
  </si>
  <si>
    <t>Unikátní identifikátor zákazníka. Slouží ke spojení mezi jednotlivými listy.</t>
  </si>
  <si>
    <t>Datum registrace zákazníka do systému Fortuny.</t>
  </si>
  <si>
    <t>Akviziční kanál, přes který zákazník přišel, např. PPC, CRM, Organic, Affiliate.</t>
  </si>
  <si>
    <t>Region nebo město, ke kterému je zákazník přiřazen.</t>
  </si>
  <si>
    <t>Převládající zařízení zákazníka při registraci nebo aktivitě, např. Mobile nebo Desktop.</t>
  </si>
  <si>
    <t>Věková skupina zákazníka.</t>
  </si>
  <si>
    <r>
      <t xml:space="preserve">Informace, zda je zákazník verifikovaný.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</si>
  <si>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r>
      <t xml:space="preserve">Výše prvního vkladu zákazníka v Kč. Pokud zákazník nevložil peníze, může být hodnota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>.</t>
    </r>
  </si>
  <si>
    <t>Počet dní od registrace do první sázky nebo první herní aktivity. Vyšší hodnota znamená pomalejší aktivaci zákazníka.</t>
  </si>
  <si>
    <r>
      <t xml:space="preserve">Informace, zda zákazník obdržel registrační nebo marketingový bonus.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</si>
  <si>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t>Pomocné předběžné označení segmentu zákazníka. Slouží jen jako orientační proměnná, ne jako finální segmentace.</t>
  </si>
  <si>
    <t>Activity_90d</t>
  </si>
  <si>
    <r>
      <t xml:space="preserve">Unikátní identifikátor zákazníka. Slouží ke spojení s listem </t>
    </r>
    <r>
      <rPr>
        <sz val="10"/>
        <color theme="1"/>
        <rFont val="Arial Unicode MS"/>
      </rPr>
      <t>Customers</t>
    </r>
    <r>
      <rPr>
        <sz val="11"/>
        <color theme="1"/>
        <rFont val="Aptos Narrow"/>
        <family val="2"/>
        <charset val="238"/>
        <scheme val="minor"/>
      </rPr>
      <t>.</t>
    </r>
  </si>
  <si>
    <t>Počet sázek nebo herních aktivit zákazníka za posledních 90 dní.</t>
  </si>
  <si>
    <t>Celkový prosázený nebo protočený objem za posledních 90 dní v Kč.</t>
  </si>
  <si>
    <t>Hrubý výnos za zákazníka za posledních 90 dní v Kč. Pro účely testu ber jako hlavní business hodnotu zákazníka.</t>
  </si>
  <si>
    <t>Počet dnů za posledních 90 dní, kdy byl zákazník aktivní.</t>
  </si>
  <si>
    <t>Počet sportovních sázek za posledních 90 dní.</t>
  </si>
  <si>
    <t>Počet casino session nebo herních návštěv za posledních 90 dní.</t>
  </si>
  <si>
    <t>Počet loterijních tiketů nebo loterijních aktivit za posledních 90 dní.</t>
  </si>
  <si>
    <t>Počet dní od poslední aktivity zákazníka. Nižší číslo znamená čerstvě aktivního zákazníka.</t>
  </si>
  <si>
    <t>Počet vkladů zákazníka za posledních 90 dní.</t>
  </si>
  <si>
    <t>Průměrná výše jedné sázky nebo herní aktivity v Kč.</t>
  </si>
  <si>
    <r>
      <t xml:space="preserve">Informace, zda zákazník za posledních 90 dní využil bonus.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</si>
  <si>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t>Campaign_AB</t>
  </si>
  <si>
    <t>Unikátní identifikátor zákazníka. Slouží ke spojení s ostatními listy.</t>
  </si>
  <si>
    <t>Hrubý výnos od zákazníka do 7 dní po kampani v Kč.</t>
  </si>
  <si>
    <t>Hodina odeslání e-mailu ve 24hodinovém formátu. Slouží pro základní posouzení vlivu času odeslání.</t>
  </si>
  <si>
    <r>
      <t xml:space="preserve">Skupina v A/B testu.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charset val="238"/>
        <scheme val="minor"/>
      </rPr>
      <t xml:space="preserve"> = varianta A, </t>
    </r>
    <r>
      <rPr>
        <sz val="10"/>
        <color theme="1"/>
        <rFont val="Arial Unicode MS"/>
      </rPr>
      <t>B</t>
    </r>
    <r>
      <rPr>
        <sz val="11"/>
        <color theme="1"/>
        <rFont val="Aptos Narrow"/>
        <family val="2"/>
        <charset val="238"/>
        <scheme val="minor"/>
      </rPr>
      <t xml:space="preserve"> = varianta B.</t>
    </r>
  </si>
  <si>
    <r>
      <t xml:space="preserve">Informace, zda byl zákazníkovi e-mail skutečně odeslán.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</si>
  <si>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r>
      <t xml:space="preserve">Informace, zda zákazník e-mail otevřel.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</si>
  <si>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r>
      <t xml:space="preserve">Informace, zda zákazník klikl na odkaz v e-mailu.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</si>
  <si>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r>
      <t xml:space="preserve">Informace, zda zákazník provedl vklad do 7 dní od odeslání kampaně.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</si>
  <si>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r>
      <t xml:space="preserve">Informace, zda zákazník provedl sázku nebo herní aktivitu do 7 dní od odeslání kampaně.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</si>
  <si>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r>
      <t xml:space="preserve">Informace, zda se zákazník po kampani odhlásil z odběru. Hodnota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charset val="238"/>
        <scheme val="minor"/>
      </rPr>
      <t xml:space="preserve"> = ano,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charset val="238"/>
        <scheme val="minor"/>
      </rPr>
      <t xml:space="preserve"> = ne.</t>
    </r>
  </si>
  <si>
    <t>KPI</t>
  </si>
  <si>
    <t>Počet zákazníků celkem</t>
  </si>
  <si>
    <t>Podíl ověřených zákazníků</t>
  </si>
  <si>
    <t>Podíl aktivních zákazníků</t>
  </si>
  <si>
    <t>Průměrný gross_revenue_90d</t>
  </si>
  <si>
    <t>Mediánový gross_revenue_90d</t>
  </si>
  <si>
    <t>Průměrný  first_deposit_amount</t>
  </si>
  <si>
    <t>Mediánový first_deposit_amount</t>
  </si>
  <si>
    <t>ÚKOL 1</t>
  </si>
  <si>
    <t>first_deposit_amount = 0</t>
  </si>
  <si>
    <t>days_to_first_bet = 999</t>
  </si>
  <si>
    <t>To je spíš technická placeholder hodnota než reálný počet dní.</t>
  </si>
  <si>
    <t>1. „V datech jsou nekonzistentně pojmenované akviziční kanály, například PPC, ppc a Paid Search. Pokud jde o stejný typ zdroje, může to zkreslit porovnání výkonu kanálů i jejich podíl na revenue.“</t>
  </si>
  <si>
    <r>
      <t xml:space="preserve">2. Zákazníci bez prvního vkladu a s extrémní hodnotou </t>
    </r>
    <r>
      <rPr>
        <sz val="10"/>
        <color theme="1"/>
        <rFont val="Arial Unicode MS"/>
      </rPr>
      <t>days_to_first_bet = 999</t>
    </r>
  </si>
  <si>
    <t>Jak to ovlivní interpretaci</t>
  </si>
  <si>
    <r>
      <t xml:space="preserve">průměr </t>
    </r>
    <r>
      <rPr>
        <sz val="10"/>
        <color theme="1"/>
        <rFont val="Arial Unicode MS"/>
      </rPr>
      <t>days_to_first_bet</t>
    </r>
    <r>
      <rPr>
        <sz val="11"/>
        <color theme="1"/>
        <rFont val="Aptos Narrow"/>
        <family val="2"/>
        <charset val="238"/>
        <scheme val="minor"/>
      </rPr>
      <t xml:space="preserve"> bude uměle nafouknutý</t>
    </r>
  </si>
  <si>
    <t>můžeš dojít k chybnému závěru, že aktivace zákazníků je extrémně pomalá</t>
  </si>
  <si>
    <t>pro statistiku a korelaci je to problematické, protože 999 není běžná hodnota chování</t>
  </si>
  <si>
    <t>Hodnota 999 u days_to_first_bet pravděpodobně slouží jako náhradní hodnota pro zákazníka bez první aktivity. Pokud by byla započtena do běžných výpočtů, mohla by výrazně zkreslit průměr i korelační analýzu.“</t>
  </si>
  <si>
    <t>3. Možná logická nekonzistence v kampani</t>
  </si>
  <si>
    <t>4. „Vzorek dat je relativně malý, proto bych byla opatrná při zobecňování výsledků. Některé metriky, zejména průměry revenue, mohou být výrazně ovlivněné několika jednotlivci.“</t>
  </si>
  <si>
    <t>„U kampaní bych zkontrolovala logickou návaznost událostí, například zda zákazník mohl kliknout bez otevření e-mailu nebo generovat revenue bez předchozí aktivity. Takové nesrovnalosti by mohly zkreslit vyhodnocení A/B testu.“</t>
  </si>
  <si>
    <t>5. Extrémní hodnoty revenue / turnover</t>
  </si>
  <si>
    <t>Např. zákazníci C005 a C011 mají výrazně vyšší hodnoty než ostatní.</t>
  </si>
  <si>
    <t>„V datech jsou patrné výrazně vyšší hodnoty turnover a gross revenue u části zákazníků. Tyto extrémy mohou zkreslit průměry, proto by bylo vhodné sledovat i medián nebo rozložení hodnot.“</t>
  </si>
  <si>
    <t xml:space="preserve">„Z celkových 12 zákazníků je 83 % ověřených a 83 % aktivních, což naznačuje relativně vysokou míru aktivace i verifikace v rámci vzorku. </t>
  </si>
  <si>
    <t>Průměrný first deposit činí 771 Kč, medián 550 Kč. U gross revenue je rozdíl mezi průměrem a mediánem výraznější (929 Kč vs. 375 Kč), což naznačuje, že celkový výnos je ovlivněn menší skupinou hodnotnějších zákazníků.“</t>
  </si>
  <si>
    <t xml:space="preserve">Nicméně vzorek dat je malý tak bych to tak silně nehodnotila. </t>
  </si>
  <si>
    <t>Row Labels</t>
  </si>
  <si>
    <t>Grand Total</t>
  </si>
  <si>
    <t>Count of customer_id</t>
  </si>
  <si>
    <t xml:space="preserve">pozn: musíme přes xlookup přesunout ze záložky Activity_90d hodnoty sloupce gross_revenue_90d, než vytvoříme pivot tabulku. </t>
  </si>
  <si>
    <t>&lt;----- přidaný sloupec přes XLOOKUP</t>
  </si>
  <si>
    <t>Sum of gross_revenue_90d</t>
  </si>
  <si>
    <t>Top 3 akviziční kanály podle počtu zákazníků</t>
  </si>
  <si>
    <t>Top 3 akviziční kanály podle hrubého výnosu od zákazníka do 90 dní po kampani v Kč.</t>
  </si>
  <si>
    <t xml:space="preserve">„Podle počtu zákazníků vede PPC, následované CRM. </t>
  </si>
  <si>
    <t>Na 3. místě je shoda mezi Affiliate a Organic, proto se ve výstupu zobrazují 4 kanály.“</t>
  </si>
  <si>
    <t>To naznačuje, že CRM přivádí nebo aktivuje hodnotnější zákazníky, i když v menším objemu než PPC.“</t>
  </si>
  <si>
    <t>hlavní insight: PPC přivádí více zákazníků, ale CRM přináší vyšší hodnotu</t>
  </si>
  <si>
    <t>„Zatímco podle počtu zákazníků je nejsilnějším akvizičním kanálem PPC, podle hrubého výnosu za 90 dní vychází nejlépe CRM.</t>
  </si>
  <si>
    <t>Segment</t>
  </si>
  <si>
    <t>Inactive</t>
  </si>
  <si>
    <t xml:space="preserve">Počet zákazníků </t>
  </si>
  <si>
    <t>High value</t>
  </si>
  <si>
    <t>Průměrný hrubý výnos</t>
  </si>
  <si>
    <t>„Segment High value má nejvyšší průměrný hrubý výnos i nejvyšší průměrný počet sázek, takže jde o nejhodnotnější skupinu zákazníků.</t>
  </si>
  <si>
    <t>Segment Inactive nevykazuje žádnou aktivitu a představuje prostor pro reaktivační kampaň.</t>
  </si>
  <si>
    <t>Segment Regular tvoří největší část vzorku a představuje běžně aktivní zákazníky se střední hodnotou.“</t>
  </si>
  <si>
    <t>„Na základě aktivity za posledních 90 dní jsem rozdělila zákazníky do tří segmentů: Inactive, Regular a High value.</t>
  </si>
  <si>
    <t>Segment High value tvoří 4 zákazníci a vykazuje nejvyšší průměrný počet sázek i nejvyšší průměrný hrubý výnos, zároveň jde o čerstvě aktivní zákazníky. S</t>
  </si>
  <si>
    <t>Segment Regular je nejpočetnější a představuje běžně aktivní zákazníky se střední hodnotou.</t>
  </si>
  <si>
    <t>Segment Inactive nevykazuje žádnou aktivitu ani výnos a byl naposledy aktivní v průměru před 90 dny, proto by dávalo smysl zvážit reaktivační kampaň.“</t>
  </si>
  <si>
    <t>Median Gross revenue 90 d</t>
  </si>
  <si>
    <t>„průměr plní zadání, ale kvůli odlehlým hodnotám jsem doplnila i medián pro robustnější interpretaci.“</t>
  </si>
  <si>
    <t>GROUP</t>
  </si>
  <si>
    <t>Open rate</t>
  </si>
  <si>
    <t>Click rate</t>
  </si>
  <si>
    <t>Deposit rate</t>
  </si>
  <si>
    <t>Bet rate</t>
  </si>
  <si>
    <t>Avg gross_revenue_7d</t>
  </si>
  <si>
    <t>Unsubscribe rate</t>
  </si>
  <si>
    <t xml:space="preserve">„Varianta A dosáhla vyššího open rate, click rate, deposit rate, bet rate i vyššího průměrného gross revenue za 7 dní. </t>
  </si>
  <si>
    <t xml:space="preserve">Unsubscribe rate je u obou variant stejný. </t>
  </si>
  <si>
    <t xml:space="preserve">Na základě dostupných dat bych proto doporučila preferovat variantu A. </t>
  </si>
  <si>
    <t>Výsledek je ale vhodné interpretovat opatrně kvůli malému vzorku.“</t>
  </si>
  <si>
    <t>Co si zapamatovat k A/B testu</t>
  </si>
  <si>
    <t>Úplně jednoduše:</t>
  </si>
  <si>
    <t>Postup</t>
  </si>
  <si>
    <t>1. rozděl A a B</t>
  </si>
  <si>
    <t>2. spočítej metriky pro obě skupiny</t>
  </si>
  <si>
    <t>3. porovnej je</t>
  </si>
  <si>
    <t>4. rozhodni podle cíle kampaně</t>
  </si>
  <si>
    <t>Myšlení</t>
  </si>
  <si>
    <t>když je cíl otevření mailu → open rate</t>
  </si>
  <si>
    <t>když je cíl engagement → click rate</t>
  </si>
  <si>
    <t>když je cíl business výkon → deposit, bet, revenue</t>
  </si>
  <si>
    <t>unsubscribe sleduješ jako negativní efekt</t>
  </si>
  <si>
    <t xml:space="preserve">Korelace a souvislosti </t>
  </si>
  <si>
    <t>Zjišťujeme jestli je závislost mezi aktivními dny a hrubým výnosem na zákazníka. Čím víc aktivních dní, tím vyšší revenue?</t>
  </si>
  <si>
    <t>Korelace</t>
  </si>
  <si>
    <t xml:space="preserve">Korelace se pohybuje blíže k číslu 1, což značí pozitivní vztah. Čili závislost. </t>
  </si>
  <si>
    <t>„Mezi počtem aktivních dní a gross revenue za 90 dní vidím silnou pozitivní souvislost. Zákazníci s vyšším počtem aktivních dní mají obvykle také vyšší hrubý výnos. Je ale potřeba dodat, že korelace neznamená kauzalitu.“</t>
  </si>
  <si>
    <t xml:space="preserve">Korelace sama o sobě neprokazuje kauzalitu. </t>
  </si>
  <si>
    <r>
      <t xml:space="preserve">„Vybrala jsem vztah mezi </t>
    </r>
    <r>
      <rPr>
        <sz val="10"/>
        <color theme="1"/>
        <rFont val="Arial Unicode MS"/>
      </rPr>
      <t>active_days_90d</t>
    </r>
    <r>
      <rPr>
        <sz val="11"/>
        <color theme="1"/>
        <rFont val="Aptos Narrow"/>
        <family val="2"/>
        <charset val="238"/>
        <scheme val="minor"/>
      </rPr>
      <t xml:space="preserve"> a </t>
    </r>
    <r>
      <rPr>
        <sz val="10"/>
        <color theme="1"/>
        <rFont val="Arial Unicode MS"/>
      </rPr>
      <t>gross_revenue_90d</t>
    </r>
    <r>
      <rPr>
        <sz val="11"/>
        <color theme="1"/>
        <rFont val="Aptos Narrow"/>
        <family val="2"/>
        <charset val="238"/>
        <scheme val="minor"/>
      </rPr>
      <t xml:space="preserve">, protože předpokládám, že častější aktivita zákazníka souvisí s vyšší hodnotou. </t>
    </r>
  </si>
  <si>
    <t xml:space="preserve">Korelační koeficient ukazuje pozitivní vztah a scatter plot naznačuje, že s rostoucím počtem aktivních dní roste i hrubý výnos. </t>
  </si>
  <si>
    <t>Výsledek je ale vhodné interpretovat opatrně, protože korelace sama o sobě neprokazuje příčinu.“</t>
  </si>
  <si>
    <t>„Mezi počtem sázek za 90 dní a hrubým výnosem za 90 dní je velmi silná pozitivní korelace (r = 0,974).</t>
  </si>
  <si>
    <t>To naznačuje, že zákazníci s vyšší frekvencí sázek mají obvykle i vyšší hrubý výnos. Výsledek ale neprokazuje kauzalitu.“</t>
  </si>
  <si>
    <t>Důležitá poznámka</t>
  </si>
  <si>
    <t>Tahle korelace bude přirozeně vysoká, protože:</t>
  </si>
  <si>
    <t>více sázek často logicky vede k vyššímu revenue,</t>
  </si>
  <si>
    <r>
      <t xml:space="preserve">takže je to spíš </t>
    </r>
    <r>
      <rPr>
        <b/>
        <sz val="11"/>
        <color theme="1"/>
        <rFont val="Aptos Narrow"/>
        <family val="2"/>
        <charset val="238"/>
        <scheme val="minor"/>
      </rPr>
      <t>potvrzení očekávaného vztahu</t>
    </r>
    <r>
      <rPr>
        <sz val="11"/>
        <color theme="1"/>
        <rFont val="Aptos Narrow"/>
        <family val="2"/>
        <charset val="238"/>
        <scheme val="minor"/>
      </rPr>
      <t xml:space="preserve"> než překvapivý insight.</t>
    </r>
  </si>
  <si>
    <t>„Analyzovala jsem vztah mezi počtem aktivních dní a hrubým výnosem a dále mezi počtem sázek a hrubým výnosem</t>
  </si>
  <si>
    <t>V obou případech vychází velmi silná pozitivní korelace, což naznačuje, že aktivnější zákazníci mají tendenci generovat vyšší hodnotu. Výsledek ale interpretuji opatrně, protože korelace sama o sobě neznamená příčinný vztah.“</t>
  </si>
  <si>
    <t>Úkol 5</t>
  </si>
  <si>
    <t xml:space="preserve">Management summary </t>
  </si>
  <si>
    <t xml:space="preserve">A/B Testování </t>
  </si>
  <si>
    <t>Varianta A v A/B testu vychází lépe téměř ve všech klíčových metrikách.</t>
  </si>
  <si>
    <r>
      <t xml:space="preserve">Hlavní insight: </t>
    </r>
    <r>
      <rPr>
        <b/>
        <sz val="11"/>
        <color theme="1"/>
        <rFont val="Aptos Narrow"/>
        <family val="2"/>
        <scheme val="minor"/>
      </rPr>
      <t>Varianta A v A/B testu vychází lépe téměř ve všech klíčových metrikách.</t>
    </r>
  </si>
  <si>
    <t>Zaměřit retenční péči na segment High value.</t>
  </si>
  <si>
    <t>Otestovat reaktivační kampaň na Inactive segment.</t>
  </si>
  <si>
    <t>Preferovat variantu A v další kampani.</t>
  </si>
  <si>
    <t>U acquisition channels sledovat nejen objem, ale i hodnotu zákazníků.</t>
  </si>
  <si>
    <t>malý vzorek</t>
  </si>
  <si>
    <t>odlehlé hodnoty</t>
  </si>
  <si>
    <t>nekonzistentní názvy kanálů</t>
  </si>
  <si>
    <t>korelace neznamená kauzalitu</t>
  </si>
  <si>
    <t xml:space="preserve">Segmentace </t>
  </si>
  <si>
    <t>Rizika / omezení</t>
  </si>
  <si>
    <t>KORELACE A SOUVISLOSTI</t>
  </si>
  <si>
    <t>DOPORUČENÍ</t>
  </si>
  <si>
    <t>Korelace sama o sobě neprokazuje příčinu.“</t>
  </si>
  <si>
    <t xml:space="preserve">V obou případech vychází velmi silná pozitivní korelace, což naznačuje, že aktivnější zákazníci mají tendenci generovat vyšší hodnotu. </t>
  </si>
  <si>
    <t>Korelace sama o sobě neznamená příčinný vztah.“</t>
  </si>
  <si>
    <r>
      <t xml:space="preserve">„Vybrala jsem vztah mezi </t>
    </r>
    <r>
      <rPr>
        <sz val="10"/>
        <color theme="1"/>
        <rFont val="Arial Unicode MS"/>
      </rPr>
      <t>active_days_90d</t>
    </r>
    <r>
      <rPr>
        <sz val="11"/>
        <color theme="1"/>
        <rFont val="Aptos Narrow"/>
        <family val="2"/>
        <charset val="238"/>
        <scheme val="minor"/>
      </rPr>
      <t xml:space="preserve"> a </t>
    </r>
    <r>
      <rPr>
        <sz val="10"/>
        <color theme="1"/>
        <rFont val="Arial Unicode MS"/>
      </rPr>
      <t>gross_revenue_90d</t>
    </r>
    <r>
      <rPr>
        <sz val="11"/>
        <color theme="1"/>
        <rFont val="Aptos Narrow"/>
        <family val="2"/>
        <charset val="238"/>
        <scheme val="minor"/>
      </rPr>
      <t xml:space="preserve">, </t>
    </r>
  </si>
  <si>
    <t xml:space="preserve">protože předpokládám, že častější aktivita zákazníka souvisí s vyšší hodnotou. </t>
  </si>
  <si>
    <t xml:space="preserve">Korelační koeficient ukazuje pozitivní vztah a scatter plot naznačuje, </t>
  </si>
  <si>
    <t xml:space="preserve">že s rostoucím počtem aktivních dní roste i hrubý výnos. </t>
  </si>
  <si>
    <t>Hlavní insight: PPC přivádí více zákazníků, ale CRM přináší vyšší hodnotu</t>
  </si>
  <si>
    <r>
      <t xml:space="preserve">Hlavní insight: </t>
    </r>
    <r>
      <rPr>
        <b/>
        <sz val="14"/>
        <color theme="1"/>
        <rFont val="Aptos Narrow"/>
        <family val="2"/>
        <scheme val="minor"/>
      </rPr>
      <t>Segment High value je menší, ale výrazně hodnotnější než segment Regular.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</si>
</sst>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8"/>
      <color theme="1"/>
      <name val="Aptos Narrow"/>
      <family val="2"/>
      <charset val="238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sz val="10"/>
      <color theme="1"/>
      <name val="Arial Unicode MS"/>
      <charset val="238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charset val="238"/>
      <scheme val="minor"/>
    </font>
    <font>
      <sz val="2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charset val="238"/>
      <scheme val="minor"/>
    </font>
    <font>
      <sz val="20"/>
      <color theme="1"/>
      <name val="Aptos Narrow"/>
      <family val="2"/>
      <charset val="238"/>
      <scheme val="minor"/>
    </font>
    <font>
      <b/>
      <sz val="22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2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2" fontId="2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1" fontId="2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/>
    <xf numFmtId="0" fontId="7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1" fontId="2" fillId="2" borderId="0" xfId="0" applyNumberFormat="1" applyFont="1" applyFill="1" applyAlignment="1">
      <alignment horizontal="right" vertical="center" wrapText="1"/>
    </xf>
    <xf numFmtId="0" fontId="0" fillId="2" borderId="0" xfId="0" applyFill="1"/>
    <xf numFmtId="1" fontId="0" fillId="2" borderId="0" xfId="0" applyNumberFormat="1" applyFill="1"/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9" fontId="8" fillId="0" borderId="6" xfId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9" fontId="8" fillId="0" borderId="7" xfId="1" applyFont="1" applyBorder="1" applyAlignment="1">
      <alignment horizontal="center"/>
    </xf>
    <xf numFmtId="0" fontId="2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" fontId="0" fillId="0" borderId="0" xfId="0" applyNumberFormat="1" applyAlignment="1">
      <alignment horizontal="right"/>
    </xf>
    <xf numFmtId="1" fontId="7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left" indent="3"/>
    </xf>
    <xf numFmtId="9" fontId="0" fillId="0" borderId="1" xfId="1" applyFont="1" applyBorder="1" applyAlignment="1">
      <alignment horizontal="left" indent="4"/>
    </xf>
    <xf numFmtId="2" fontId="0" fillId="0" borderId="1" xfId="1" applyNumberFormat="1" applyFont="1" applyBorder="1" applyAlignment="1">
      <alignment horizontal="left" indent="5"/>
    </xf>
    <xf numFmtId="2" fontId="0" fillId="0" borderId="1" xfId="1" applyNumberFormat="1" applyFont="1" applyBorder="1" applyAlignment="1">
      <alignment horizontal="left" indent="6"/>
    </xf>
    <xf numFmtId="0" fontId="16" fillId="0" borderId="0" xfId="0" applyFont="1"/>
    <xf numFmtId="0" fontId="15" fillId="2" borderId="0" xfId="0" applyFont="1" applyFill="1" applyAlignment="1">
      <alignment vertical="center"/>
    </xf>
    <xf numFmtId="0" fontId="16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12" fillId="0" borderId="0" xfId="0" applyFont="1"/>
    <xf numFmtId="0" fontId="8" fillId="0" borderId="5" xfId="0" applyFont="1" applyBorder="1" applyAlignment="1">
      <alignment horizontal="center" vertical="center"/>
    </xf>
    <xf numFmtId="9" fontId="8" fillId="0" borderId="6" xfId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9" fontId="8" fillId="0" borderId="7" xfId="1" applyFont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0" fillId="0" borderId="0" xfId="0" applyBorder="1"/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/>
  </cellXfs>
  <cellStyles count="2">
    <cellStyle name="Normal" xfId="0" builtinId="0"/>
    <cellStyle name="Percent" xfId="1" builtinId="5"/>
  </cellStyles>
  <dxfs count="16">
    <dxf>
      <alignment horizontal="right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[testovací dataset a zadání_vypracování.xlsx]KPI!PivotTable2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akviziční kanály podle počtu zákazníků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KPI!$A$13:$A$17</c:f>
              <c:strCache>
                <c:ptCount val="4"/>
                <c:pt idx="0">
                  <c:v>PPC</c:v>
                </c:pt>
                <c:pt idx="1">
                  <c:v>CRM</c:v>
                </c:pt>
                <c:pt idx="2">
                  <c:v>Affiliate</c:v>
                </c:pt>
                <c:pt idx="3">
                  <c:v>Organic</c:v>
                </c:pt>
              </c:strCache>
            </c:strRef>
          </c:cat>
          <c:val>
            <c:numRef>
              <c:f>KPI!$B$13:$B$17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6-47A9-AF16-5C24EC2B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390540847"/>
        <c:axId val="390541327"/>
      </c:barChart>
      <c:catAx>
        <c:axId val="39054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90541327"/>
        <c:crosses val="autoZero"/>
        <c:auto val="1"/>
        <c:lblAlgn val="ctr"/>
        <c:lblOffset val="100"/>
        <c:noMultiLvlLbl val="0"/>
      </c:catAx>
      <c:valAx>
        <c:axId val="3905413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9054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[testovací dataset a zadání_vypracování.xlsx]KPI!PivotTable6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Top 3 akviziční kanály podle hrubého výnosu od zákazníka do 90 dní po kampani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KPI!$G$15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KPI!$F$16:$F$19</c:f>
              <c:strCache>
                <c:ptCount val="3"/>
                <c:pt idx="0">
                  <c:v>CRM</c:v>
                </c:pt>
                <c:pt idx="1">
                  <c:v>PPC</c:v>
                </c:pt>
                <c:pt idx="2">
                  <c:v>Affiliate</c:v>
                </c:pt>
              </c:strCache>
            </c:strRef>
          </c:cat>
          <c:val>
            <c:numRef>
              <c:f>KPI!$G$16:$G$19</c:f>
              <c:numCache>
                <c:formatCode>0</c:formatCode>
                <c:ptCount val="3"/>
                <c:pt idx="0">
                  <c:v>5535</c:v>
                </c:pt>
                <c:pt idx="1">
                  <c:v>5220</c:v>
                </c:pt>
                <c:pt idx="2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7-47D2-A4F1-077093A88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901706559"/>
        <c:axId val="901707039"/>
      </c:barChart>
      <c:catAx>
        <c:axId val="9017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01707039"/>
        <c:crosses val="autoZero"/>
        <c:auto val="1"/>
        <c:lblAlgn val="ctr"/>
        <c:lblOffset val="100"/>
        <c:noMultiLvlLbl val="0"/>
      </c:catAx>
      <c:valAx>
        <c:axId val="9017070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0170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[testovací dataset a zadání_vypracování.xlsx]č.3_Segmentace zákazníků!PivotTable9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Průměrný</a:t>
            </a:r>
            <a:r>
              <a:rPr lang="cs-CZ" baseline="0"/>
              <a:t> hrubý výnos za 90 dní podle segmentu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'č.3_Segmentace zákazníků'!$H$2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'č.3_Segmentace zákazníků'!$G$3:$G$6</c:f>
              <c:strCache>
                <c:ptCount val="3"/>
                <c:pt idx="0">
                  <c:v>High value</c:v>
                </c:pt>
                <c:pt idx="1">
                  <c:v>Regular</c:v>
                </c:pt>
                <c:pt idx="2">
                  <c:v>Inactive</c:v>
                </c:pt>
              </c:strCache>
            </c:strRef>
          </c:cat>
          <c:val>
            <c:numRef>
              <c:f>'č.3_Segmentace zákazníků'!$H$3:$H$6</c:f>
              <c:numCache>
                <c:formatCode>0</c:formatCode>
                <c:ptCount val="3"/>
                <c:pt idx="0">
                  <c:v>2360</c:v>
                </c:pt>
                <c:pt idx="1">
                  <c:v>284.16666666666669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C-4A89-BA8E-556B91731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2108015"/>
        <c:axId val="822111855"/>
        <c:axId val="0"/>
      </c:bar3DChart>
      <c:catAx>
        <c:axId val="8221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22111855"/>
        <c:crosses val="autoZero"/>
        <c:auto val="1"/>
        <c:lblAlgn val="ctr"/>
        <c:lblOffset val="100"/>
        <c:noMultiLvlLbl val="0"/>
      </c:catAx>
      <c:valAx>
        <c:axId val="8221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2210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[testovací dataset a zadání_vypracování.xlsx]č.3_Segmentace zákazníků!PivotTable10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Počet zákazníků podle segmentu</a:t>
            </a:r>
            <a:r>
              <a:rPr lang="cs-CZ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'č.3_Segmentace zákazníků'!$B$15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'č.3_Segmentace zákazníků'!$A$16:$A$19</c:f>
              <c:strCache>
                <c:ptCount val="3"/>
                <c:pt idx="0">
                  <c:v>Regular</c:v>
                </c:pt>
                <c:pt idx="1">
                  <c:v>High value</c:v>
                </c:pt>
                <c:pt idx="2">
                  <c:v>Inactive</c:v>
                </c:pt>
              </c:strCache>
            </c:strRef>
          </c:cat>
          <c:val>
            <c:numRef>
              <c:f>'č.3_Segmentace zákazníků'!$B$16:$B$19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B-41A3-BD70-0DDA3428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910389903"/>
        <c:axId val="910390383"/>
      </c:barChart>
      <c:catAx>
        <c:axId val="91038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10390383"/>
        <c:crosses val="autoZero"/>
        <c:auto val="1"/>
        <c:lblAlgn val="ctr"/>
        <c:lblOffset val="100"/>
        <c:noMultiLvlLbl val="0"/>
      </c:catAx>
      <c:valAx>
        <c:axId val="9103903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1038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Vztah mezi počtem aktivních dní a hrubým výnosem za 90 dní</a:t>
            </a:r>
          </a:p>
        </c:rich>
      </c:tx>
      <c:layout>
        <c:manualLayout>
          <c:xMode val="edge"/>
          <c:yMode val="edge"/>
          <c:x val="0.14933347319564108"/>
          <c:y val="3.6046325069900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'č.5 Korelace'!$B$6</c:f>
              <c:strCache>
                <c:ptCount val="1"/>
                <c:pt idx="0">
                  <c:v>gross_revenue_90d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'č.5 Korelace'!$A$7:$A$18</c:f>
              <c:numCache>
                <c:formatCode>0</c:formatCode>
                <c:ptCount val="12"/>
                <c:pt idx="0">
                  <c:v>8</c:v>
                </c:pt>
                <c:pt idx="1">
                  <c:v>20</c:v>
                </c:pt>
                <c:pt idx="2">
                  <c:v>0</c:v>
                </c:pt>
                <c:pt idx="3">
                  <c:v>4</c:v>
                </c:pt>
                <c:pt idx="4">
                  <c:v>29</c:v>
                </c:pt>
                <c:pt idx="5">
                  <c:v>10</c:v>
                </c:pt>
                <c:pt idx="6">
                  <c:v>13</c:v>
                </c:pt>
                <c:pt idx="7">
                  <c:v>2</c:v>
                </c:pt>
                <c:pt idx="8">
                  <c:v>0</c:v>
                </c:pt>
                <c:pt idx="9">
                  <c:v>5</c:v>
                </c:pt>
                <c:pt idx="10">
                  <c:v>33</c:v>
                </c:pt>
                <c:pt idx="11">
                  <c:v>7</c:v>
                </c:pt>
              </c:numCache>
            </c:numRef>
          </c:xVal>
          <c:yVal>
            <c:numRef>
              <c:f>'č.5 Korelace'!$B$7:$B$18</c:f>
              <c:numCache>
                <c:formatCode>0</c:formatCode>
                <c:ptCount val="12"/>
                <c:pt idx="0">
                  <c:v>420</c:v>
                </c:pt>
                <c:pt idx="1">
                  <c:v>1380</c:v>
                </c:pt>
                <c:pt idx="2">
                  <c:v>0</c:v>
                </c:pt>
                <c:pt idx="3">
                  <c:v>180</c:v>
                </c:pt>
                <c:pt idx="4">
                  <c:v>3200</c:v>
                </c:pt>
                <c:pt idx="5">
                  <c:v>510</c:v>
                </c:pt>
                <c:pt idx="6">
                  <c:v>760</c:v>
                </c:pt>
                <c:pt idx="7">
                  <c:v>55</c:v>
                </c:pt>
                <c:pt idx="8">
                  <c:v>0</c:v>
                </c:pt>
                <c:pt idx="9">
                  <c:v>210</c:v>
                </c:pt>
                <c:pt idx="10">
                  <c:v>4100</c:v>
                </c:pt>
                <c:pt idx="11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7-4836-AD68-036226804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759711"/>
        <c:axId val="976784671"/>
      </c:scatterChart>
      <c:valAx>
        <c:axId val="9767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aktivních dní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76784671"/>
        <c:crosses val="autoZero"/>
        <c:crossBetween val="midCat"/>
      </c:valAx>
      <c:valAx>
        <c:axId val="97678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Hrubý</a:t>
                </a:r>
                <a:r>
                  <a:rPr lang="cs-CZ" baseline="0"/>
                  <a:t> výnos za 90 dní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7675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Vztah mezi počtem sázek a hrubým výnosem za 90 dní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č.5Korelace_b!$B$1</c:f>
              <c:strCache>
                <c:ptCount val="1"/>
                <c:pt idx="0">
                  <c:v>gross_revenue_90d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č.5Korelace_b!$A$2:$A$13</c:f>
              <c:numCache>
                <c:formatCode>0</c:formatCode>
                <c:ptCount val="12"/>
                <c:pt idx="0">
                  <c:v>12</c:v>
                </c:pt>
                <c:pt idx="1">
                  <c:v>34</c:v>
                </c:pt>
                <c:pt idx="2">
                  <c:v>0</c:v>
                </c:pt>
                <c:pt idx="3">
                  <c:v>6</c:v>
                </c:pt>
                <c:pt idx="4">
                  <c:v>55</c:v>
                </c:pt>
                <c:pt idx="5">
                  <c:v>18</c:v>
                </c:pt>
                <c:pt idx="6">
                  <c:v>22</c:v>
                </c:pt>
                <c:pt idx="7">
                  <c:v>3</c:v>
                </c:pt>
                <c:pt idx="8">
                  <c:v>0</c:v>
                </c:pt>
                <c:pt idx="9">
                  <c:v>8</c:v>
                </c:pt>
                <c:pt idx="10">
                  <c:v>61</c:v>
                </c:pt>
                <c:pt idx="11">
                  <c:v>14</c:v>
                </c:pt>
              </c:numCache>
            </c:numRef>
          </c:xVal>
          <c:yVal>
            <c:numRef>
              <c:f>č.5Korelace_b!$B$2:$B$13</c:f>
              <c:numCache>
                <c:formatCode>0</c:formatCode>
                <c:ptCount val="12"/>
                <c:pt idx="0">
                  <c:v>420</c:v>
                </c:pt>
                <c:pt idx="1">
                  <c:v>1380</c:v>
                </c:pt>
                <c:pt idx="2">
                  <c:v>0</c:v>
                </c:pt>
                <c:pt idx="3">
                  <c:v>180</c:v>
                </c:pt>
                <c:pt idx="4">
                  <c:v>3200</c:v>
                </c:pt>
                <c:pt idx="5">
                  <c:v>510</c:v>
                </c:pt>
                <c:pt idx="6">
                  <c:v>760</c:v>
                </c:pt>
                <c:pt idx="7">
                  <c:v>55</c:v>
                </c:pt>
                <c:pt idx="8">
                  <c:v>0</c:v>
                </c:pt>
                <c:pt idx="9">
                  <c:v>210</c:v>
                </c:pt>
                <c:pt idx="10">
                  <c:v>4100</c:v>
                </c:pt>
                <c:pt idx="11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D-4B8E-80AF-2E5701C84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213663"/>
        <c:axId val="922209343"/>
      </c:scatterChart>
      <c:valAx>
        <c:axId val="92221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sázek za 90 dní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22209343"/>
        <c:crosses val="autoZero"/>
        <c:crossBetween val="midCat"/>
      </c:valAx>
      <c:valAx>
        <c:axId val="92220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Hrubý výnos za 90 dní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2221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[testovací dataset a zadání_vypracování.xlsx]KPI!PivotTable2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akviziční kanály podle počtu zákazníků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KPI!$A$13:$A$17</c:f>
              <c:strCache>
                <c:ptCount val="4"/>
                <c:pt idx="0">
                  <c:v>PPC</c:v>
                </c:pt>
                <c:pt idx="1">
                  <c:v>CRM</c:v>
                </c:pt>
                <c:pt idx="2">
                  <c:v>Affiliate</c:v>
                </c:pt>
                <c:pt idx="3">
                  <c:v>Organic</c:v>
                </c:pt>
              </c:strCache>
            </c:strRef>
          </c:cat>
          <c:val>
            <c:numRef>
              <c:f>KPI!$B$13:$B$17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E-478E-8A35-8B8A56FD2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390540847"/>
        <c:axId val="390541327"/>
      </c:barChart>
      <c:catAx>
        <c:axId val="39054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90541327"/>
        <c:crosses val="autoZero"/>
        <c:auto val="1"/>
        <c:lblAlgn val="ctr"/>
        <c:lblOffset val="100"/>
        <c:noMultiLvlLbl val="0"/>
      </c:catAx>
      <c:valAx>
        <c:axId val="3905413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39054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[testovací dataset a zadání_vypracování.xlsx]KPI!PivotTable6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Top 3 akviziční kanály podle hrubého výnosu od zákazníka do 90 dní po kampani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KPI!$G$15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KPI!$F$16:$F$19</c:f>
              <c:strCache>
                <c:ptCount val="3"/>
                <c:pt idx="0">
                  <c:v>CRM</c:v>
                </c:pt>
                <c:pt idx="1">
                  <c:v>PPC</c:v>
                </c:pt>
                <c:pt idx="2">
                  <c:v>Affiliate</c:v>
                </c:pt>
              </c:strCache>
            </c:strRef>
          </c:cat>
          <c:val>
            <c:numRef>
              <c:f>KPI!$G$16:$G$19</c:f>
              <c:numCache>
                <c:formatCode>0</c:formatCode>
                <c:ptCount val="3"/>
                <c:pt idx="0">
                  <c:v>5535</c:v>
                </c:pt>
                <c:pt idx="1">
                  <c:v>5220</c:v>
                </c:pt>
                <c:pt idx="2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6-42D0-9AF7-481B49DAD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901706559"/>
        <c:axId val="901707039"/>
      </c:barChart>
      <c:catAx>
        <c:axId val="9017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01707039"/>
        <c:crosses val="autoZero"/>
        <c:auto val="1"/>
        <c:lblAlgn val="ctr"/>
        <c:lblOffset val="100"/>
        <c:noMultiLvlLbl val="0"/>
      </c:catAx>
      <c:valAx>
        <c:axId val="9017070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0170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[testovací dataset a zadání_vypracování.xlsx]č.3_Segmentace zákazníků!PivotTable9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Průměrný</a:t>
            </a:r>
            <a:r>
              <a:rPr lang="cs-CZ" baseline="0"/>
              <a:t> hrubý výnos za 90 dní podle segmentu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'č.3_Segmentace zákazníků'!$H$2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'č.3_Segmentace zákazníků'!$G$3:$G$6</c:f>
              <c:strCache>
                <c:ptCount val="3"/>
                <c:pt idx="0">
                  <c:v>High value</c:v>
                </c:pt>
                <c:pt idx="1">
                  <c:v>Regular</c:v>
                </c:pt>
                <c:pt idx="2">
                  <c:v>Inactive</c:v>
                </c:pt>
              </c:strCache>
            </c:strRef>
          </c:cat>
          <c:val>
            <c:numRef>
              <c:f>'č.3_Segmentace zákazníků'!$H$3:$H$6</c:f>
              <c:numCache>
                <c:formatCode>0</c:formatCode>
                <c:ptCount val="3"/>
                <c:pt idx="0">
                  <c:v>2360</c:v>
                </c:pt>
                <c:pt idx="1">
                  <c:v>284.16666666666669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9-4AF3-B0C3-5F35DAA8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2108015"/>
        <c:axId val="822111855"/>
        <c:axId val="0"/>
      </c:bar3DChart>
      <c:catAx>
        <c:axId val="82210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22111855"/>
        <c:crosses val="autoZero"/>
        <c:auto val="1"/>
        <c:lblAlgn val="ctr"/>
        <c:lblOffset val="100"/>
        <c:noMultiLvlLbl val="0"/>
      </c:catAx>
      <c:valAx>
        <c:axId val="8221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2210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[testovací dataset a zadání_vypracování.xlsx]č.3_Segmentace zákazníků!PivotTable10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Počet zákazníků podle segmentu</a:t>
            </a:r>
            <a:r>
              <a:rPr lang="cs-CZ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'č.3_Segmentace zákazníků'!$B$15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'č.3_Segmentace zákazníků'!$A$16:$A$19</c:f>
              <c:strCache>
                <c:ptCount val="3"/>
                <c:pt idx="0">
                  <c:v>Regular</c:v>
                </c:pt>
                <c:pt idx="1">
                  <c:v>High value</c:v>
                </c:pt>
                <c:pt idx="2">
                  <c:v>Inactive</c:v>
                </c:pt>
              </c:strCache>
            </c:strRef>
          </c:cat>
          <c:val>
            <c:numRef>
              <c:f>'č.3_Segmentace zákazníků'!$B$16:$B$19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1-485C-B826-A18AC7982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910389903"/>
        <c:axId val="910390383"/>
      </c:barChart>
      <c:catAx>
        <c:axId val="91038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10390383"/>
        <c:crosses val="autoZero"/>
        <c:auto val="1"/>
        <c:lblAlgn val="ctr"/>
        <c:lblOffset val="100"/>
        <c:noMultiLvlLbl val="0"/>
      </c:catAx>
      <c:valAx>
        <c:axId val="9103903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1038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Vztah mezi počtem aktivních dní a hrubým výnosem za 90 dní</a:t>
            </a:r>
          </a:p>
        </c:rich>
      </c:tx>
      <c:layout>
        <c:manualLayout>
          <c:xMode val="edge"/>
          <c:yMode val="edge"/>
          <c:x val="0.14933347319564108"/>
          <c:y val="3.6046325069900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'č.5 Korelace'!$B$6</c:f>
              <c:strCache>
                <c:ptCount val="1"/>
                <c:pt idx="0">
                  <c:v>gross_revenue_90d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'č.5 Korelace'!$A$7:$A$18</c:f>
              <c:numCache>
                <c:formatCode>0</c:formatCode>
                <c:ptCount val="12"/>
                <c:pt idx="0">
                  <c:v>8</c:v>
                </c:pt>
                <c:pt idx="1">
                  <c:v>20</c:v>
                </c:pt>
                <c:pt idx="2">
                  <c:v>0</c:v>
                </c:pt>
                <c:pt idx="3">
                  <c:v>4</c:v>
                </c:pt>
                <c:pt idx="4">
                  <c:v>29</c:v>
                </c:pt>
                <c:pt idx="5">
                  <c:v>10</c:v>
                </c:pt>
                <c:pt idx="6">
                  <c:v>13</c:v>
                </c:pt>
                <c:pt idx="7">
                  <c:v>2</c:v>
                </c:pt>
                <c:pt idx="8">
                  <c:v>0</c:v>
                </c:pt>
                <c:pt idx="9">
                  <c:v>5</c:v>
                </c:pt>
                <c:pt idx="10">
                  <c:v>33</c:v>
                </c:pt>
                <c:pt idx="11">
                  <c:v>7</c:v>
                </c:pt>
              </c:numCache>
            </c:numRef>
          </c:xVal>
          <c:yVal>
            <c:numRef>
              <c:f>'č.5 Korelace'!$B$7:$B$18</c:f>
              <c:numCache>
                <c:formatCode>0</c:formatCode>
                <c:ptCount val="12"/>
                <c:pt idx="0">
                  <c:v>420</c:v>
                </c:pt>
                <c:pt idx="1">
                  <c:v>1380</c:v>
                </c:pt>
                <c:pt idx="2">
                  <c:v>0</c:v>
                </c:pt>
                <c:pt idx="3">
                  <c:v>180</c:v>
                </c:pt>
                <c:pt idx="4">
                  <c:v>3200</c:v>
                </c:pt>
                <c:pt idx="5">
                  <c:v>510</c:v>
                </c:pt>
                <c:pt idx="6">
                  <c:v>760</c:v>
                </c:pt>
                <c:pt idx="7">
                  <c:v>55</c:v>
                </c:pt>
                <c:pt idx="8">
                  <c:v>0</c:v>
                </c:pt>
                <c:pt idx="9">
                  <c:v>210</c:v>
                </c:pt>
                <c:pt idx="10">
                  <c:v>4100</c:v>
                </c:pt>
                <c:pt idx="11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B-41E8-990B-A365D6639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759711"/>
        <c:axId val="976784671"/>
      </c:scatterChart>
      <c:valAx>
        <c:axId val="9767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aktivních dní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76784671"/>
        <c:crosses val="autoZero"/>
        <c:crossBetween val="midCat"/>
      </c:valAx>
      <c:valAx>
        <c:axId val="97678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Hrubý</a:t>
                </a:r>
                <a:r>
                  <a:rPr lang="cs-CZ" baseline="0"/>
                  <a:t> výnos za 90 dní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76759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Vztah mezi počtem sázek a hrubým výnosem za 90 dní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č.5Korelace_b!$B$1</c:f>
              <c:strCache>
                <c:ptCount val="1"/>
                <c:pt idx="0">
                  <c:v>gross_revenue_90d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č.5Korelace_b!$A$2:$A$13</c:f>
              <c:numCache>
                <c:formatCode>0</c:formatCode>
                <c:ptCount val="12"/>
                <c:pt idx="0">
                  <c:v>12</c:v>
                </c:pt>
                <c:pt idx="1">
                  <c:v>34</c:v>
                </c:pt>
                <c:pt idx="2">
                  <c:v>0</c:v>
                </c:pt>
                <c:pt idx="3">
                  <c:v>6</c:v>
                </c:pt>
                <c:pt idx="4">
                  <c:v>55</c:v>
                </c:pt>
                <c:pt idx="5">
                  <c:v>18</c:v>
                </c:pt>
                <c:pt idx="6">
                  <c:v>22</c:v>
                </c:pt>
                <c:pt idx="7">
                  <c:v>3</c:v>
                </c:pt>
                <c:pt idx="8">
                  <c:v>0</c:v>
                </c:pt>
                <c:pt idx="9">
                  <c:v>8</c:v>
                </c:pt>
                <c:pt idx="10">
                  <c:v>61</c:v>
                </c:pt>
                <c:pt idx="11">
                  <c:v>14</c:v>
                </c:pt>
              </c:numCache>
            </c:numRef>
          </c:xVal>
          <c:yVal>
            <c:numRef>
              <c:f>č.5Korelace_b!$B$2:$B$13</c:f>
              <c:numCache>
                <c:formatCode>0</c:formatCode>
                <c:ptCount val="12"/>
                <c:pt idx="0">
                  <c:v>420</c:v>
                </c:pt>
                <c:pt idx="1">
                  <c:v>1380</c:v>
                </c:pt>
                <c:pt idx="2">
                  <c:v>0</c:v>
                </c:pt>
                <c:pt idx="3">
                  <c:v>180</c:v>
                </c:pt>
                <c:pt idx="4">
                  <c:v>3200</c:v>
                </c:pt>
                <c:pt idx="5">
                  <c:v>510</c:v>
                </c:pt>
                <c:pt idx="6">
                  <c:v>760</c:v>
                </c:pt>
                <c:pt idx="7">
                  <c:v>55</c:v>
                </c:pt>
                <c:pt idx="8">
                  <c:v>0</c:v>
                </c:pt>
                <c:pt idx="9">
                  <c:v>210</c:v>
                </c:pt>
                <c:pt idx="10">
                  <c:v>4100</c:v>
                </c:pt>
                <c:pt idx="11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4C-477B-8B69-359F4DD87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213663"/>
        <c:axId val="922209343"/>
      </c:scatterChart>
      <c:valAx>
        <c:axId val="92221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Počet sázek za 90 dní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22209343"/>
        <c:crosses val="autoZero"/>
        <c:crossBetween val="midCat"/>
      </c:valAx>
      <c:valAx>
        <c:axId val="92220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Hrubý výnos za 90 dní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2221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11</xdr:row>
      <xdr:rowOff>180975</xdr:rowOff>
    </xdr:from>
    <xdr:to>
      <xdr:col>3</xdr:col>
      <xdr:colOff>666750</xdr:colOff>
      <xdr:row>29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28965-B2C5-4DD1-AF4F-92557F521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76199</xdr:colOff>
      <xdr:row>11</xdr:row>
      <xdr:rowOff>171449</xdr:rowOff>
    </xdr:from>
    <xdr:to>
      <xdr:col>10</xdr:col>
      <xdr:colOff>333374</xdr:colOff>
      <xdr:row>29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AD5F5B-911B-4FA2-B09E-42091035C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76199</xdr:colOff>
      <xdr:row>39</xdr:row>
      <xdr:rowOff>161925</xdr:rowOff>
    </xdr:from>
    <xdr:to>
      <xdr:col>11</xdr:col>
      <xdr:colOff>533400</xdr:colOff>
      <xdr:row>56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D3A0EB-5515-4A31-8F9D-D4A329B68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39</xdr:row>
      <xdr:rowOff>95251</xdr:rowOff>
    </xdr:from>
    <xdr:to>
      <xdr:col>3</xdr:col>
      <xdr:colOff>1304925</xdr:colOff>
      <xdr:row>55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0B2E47-5B8A-4DBF-8910-FFA148AF7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87</xdr:row>
      <xdr:rowOff>104776</xdr:rowOff>
    </xdr:from>
    <xdr:to>
      <xdr:col>3</xdr:col>
      <xdr:colOff>1304925</xdr:colOff>
      <xdr:row>104</xdr:row>
      <xdr:rowOff>66676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34DB23-CB64-4C23-9576-059FFA38D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114301</xdr:colOff>
      <xdr:row>87</xdr:row>
      <xdr:rowOff>85726</xdr:rowOff>
    </xdr:from>
    <xdr:to>
      <xdr:col>12</xdr:col>
      <xdr:colOff>390525</xdr:colOff>
      <xdr:row>104</xdr:row>
      <xdr:rowOff>123826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34DC4-BA1E-42F6-9261-F1B3D2910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11</xdr:row>
      <xdr:rowOff>14286</xdr:rowOff>
    </xdr:from>
    <xdr:to>
      <xdr:col>4</xdr:col>
      <xdr:colOff>1381125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456F3-3D3C-C384-9A7F-CD78320B7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14</xdr:row>
      <xdr:rowOff>33337</xdr:rowOff>
    </xdr:from>
    <xdr:to>
      <xdr:col>12</xdr:col>
      <xdr:colOff>561975</xdr:colOff>
      <xdr:row>29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9EA8E9-7F06-2417-D2F2-FADA99E2E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19</xdr:row>
      <xdr:rowOff>61911</xdr:rowOff>
    </xdr:from>
    <xdr:to>
      <xdr:col>10</xdr:col>
      <xdr:colOff>476250</xdr:colOff>
      <xdr:row>34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545DDA-D47F-2FD2-ECB1-E3FAB6560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19</xdr:row>
      <xdr:rowOff>90487</xdr:rowOff>
    </xdr:from>
    <xdr:to>
      <xdr:col>4</xdr:col>
      <xdr:colOff>295275</xdr:colOff>
      <xdr:row>34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72F38E-002B-6116-EC46-BE8C40410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42861</xdr:colOff>
      <xdr:row>4</xdr:row>
      <xdr:rowOff>885824</xdr:rowOff>
    </xdr:from>
    <xdr:to>
      <xdr:col>16</xdr:col>
      <xdr:colOff>104775</xdr:colOff>
      <xdr:row>20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344888-7FB6-2AD7-6EEA-88481ABCB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414336</xdr:colOff>
      <xdr:row>0</xdr:row>
      <xdr:rowOff>61911</xdr:rowOff>
    </xdr:from>
    <xdr:to>
      <xdr:col>14</xdr:col>
      <xdr:colOff>190499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CB798-33EB-3E25-AD35-C452B5A4B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la" refreshedDate="46128.628098379631" createdVersion="8" refreshedVersion="8" minRefreshableVersion="3" recordCount="13" xr:uid="{6DCFF11E-20C1-42F9-825A-781EC2C85115}">
  <cacheSource type="worksheet">
    <worksheetSource ref="A1:K1048576" sheet="Customers"/>
  </cacheSource>
  <cacheFields count="11">
    <cacheField name="customer_id" numFmtId="0">
      <sharedItems containsBlank="1" count="13">
        <s v="C001"/>
        <s v="C002"/>
        <s v="C003"/>
        <s v="C004"/>
        <s v="C005"/>
        <s v="C006"/>
        <s v="C007"/>
        <s v="C008"/>
        <s v="C009"/>
        <s v="C010"/>
        <s v="C011"/>
        <s v="C012"/>
        <m/>
      </sharedItems>
    </cacheField>
    <cacheField name="registration_date" numFmtId="14">
      <sharedItems containsNonDate="0" containsDate="1" containsString="0" containsBlank="1" minDate="2025-10-01T00:00:00" maxDate="2025-10-23T00:00:00"/>
    </cacheField>
    <cacheField name="acquisition_channel" numFmtId="0">
      <sharedItems containsBlank="1" count="5">
        <s v="PPC"/>
        <s v="CRM"/>
        <s v="Organic"/>
        <s v="Affiliate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age_group" numFmtId="2">
      <sharedItems containsBlank="1"/>
    </cacheField>
    <cacheField name="is_verified" numFmtId="1">
      <sharedItems containsString="0" containsBlank="1" containsNumber="1" containsInteger="1" minValue="0" maxValue="1"/>
    </cacheField>
    <cacheField name="first_deposit_amount" numFmtId="1">
      <sharedItems containsString="0" containsBlank="1" containsNumber="1" containsInteger="1" minValue="0" maxValue="2500"/>
    </cacheField>
    <cacheField name="days_to_first_bet" numFmtId="1">
      <sharedItems containsString="0" containsBlank="1" containsNumber="1" containsInteger="1" minValue="0" maxValue="999"/>
    </cacheField>
    <cacheField name="bonus_received" numFmtId="1">
      <sharedItems containsString="0" containsBlank="1" containsNumber="1" containsInteger="1" minValue="0" maxValue="1"/>
    </cacheField>
    <cacheField name="segment_prelab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la" refreshedDate="46128.854247685187" createdVersion="8" refreshedVersion="8" minRefreshableVersion="3" recordCount="12" xr:uid="{893243DB-6330-4776-B805-B8B49EEBDC8C}">
  <cacheSource type="worksheet">
    <worksheetSource ref="A1:L13" sheet="Customers"/>
  </cacheSource>
  <cacheFields count="12">
    <cacheField name="customer_id" numFmtId="0">
      <sharedItems/>
    </cacheField>
    <cacheField name="registration_date" numFmtId="14">
      <sharedItems containsSemiMixedTypes="0" containsNonDate="0" containsDate="1" containsString="0" minDate="2025-10-01T00:00:00" maxDate="2025-10-23T00:00:00"/>
    </cacheField>
    <cacheField name="acquisition_channel" numFmtId="0">
      <sharedItems count="4">
        <s v="PPC"/>
        <s v="CRM"/>
        <s v="Organic"/>
        <s v="Affiliate"/>
      </sharedItems>
    </cacheField>
    <cacheField name="region" numFmtId="0">
      <sharedItems/>
    </cacheField>
    <cacheField name="device_type" numFmtId="0">
      <sharedItems/>
    </cacheField>
    <cacheField name="age_group" numFmtId="2">
      <sharedItems/>
    </cacheField>
    <cacheField name="is_verified" numFmtId="1">
      <sharedItems containsSemiMixedTypes="0" containsString="0" containsNumber="1" containsInteger="1" minValue="0" maxValue="1"/>
    </cacheField>
    <cacheField name="first_deposit_amount" numFmtId="1">
      <sharedItems containsSemiMixedTypes="0" containsString="0" containsNumber="1" containsInteger="1" minValue="0" maxValue="2500"/>
    </cacheField>
    <cacheField name="days_to_first_bet" numFmtId="1">
      <sharedItems containsSemiMixedTypes="0" containsString="0" containsNumber="1" containsInteger="1" minValue="0" maxValue="999"/>
    </cacheField>
    <cacheField name="bonus_received" numFmtId="1">
      <sharedItems containsSemiMixedTypes="0" containsString="0" containsNumber="1" containsInteger="1" minValue="0" maxValue="1"/>
    </cacheField>
    <cacheField name="segment_prelabel" numFmtId="0">
      <sharedItems/>
    </cacheField>
    <cacheField name="gross_revenue_90d" numFmtId="1">
      <sharedItems containsSemiMixedTypes="0" containsString="0" containsNumber="1" containsInteger="1" minValue="0" maxValue="4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la" refreshedDate="46128.887575347224" createdVersion="8" refreshedVersion="8" minRefreshableVersion="3" recordCount="12" xr:uid="{19FAAAFE-4F29-418A-9684-3BA0F1FE3022}">
  <cacheSource type="worksheet">
    <worksheetSource ref="A1:E13" sheet="č.3_Segmentace zákazníků"/>
  </cacheSource>
  <cacheFields count="5">
    <cacheField name="customer_id" numFmtId="0">
      <sharedItems count="12">
        <s v="C001"/>
        <s v="C002"/>
        <s v="C003"/>
        <s v="C004"/>
        <s v="C005"/>
        <s v="C006"/>
        <s v="C007"/>
        <s v="C008"/>
        <s v="C009"/>
        <s v="C010"/>
        <s v="C011"/>
        <s v="C012"/>
      </sharedItems>
    </cacheField>
    <cacheField name="bets_count_90d" numFmtId="1">
      <sharedItems containsSemiMixedTypes="0" containsString="0" containsNumber="1" containsInteger="1" minValue="0" maxValue="61"/>
    </cacheField>
    <cacheField name="gross_revenue_90d" numFmtId="1">
      <sharedItems containsSemiMixedTypes="0" containsString="0" containsNumber="1" containsInteger="1" minValue="0" maxValue="4100"/>
    </cacheField>
    <cacheField name="last_active_days_ago" numFmtId="1">
      <sharedItems containsSemiMixedTypes="0" containsString="0" containsNumber="1" containsInteger="1" minValue="0" maxValue="90"/>
    </cacheField>
    <cacheField name="Segment" numFmtId="0">
      <sharedItems count="3">
        <s v="Regular"/>
        <s v="High value"/>
        <s v="In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d v="2025-10-01T00:00:00"/>
    <x v="0"/>
    <s v="Praha"/>
    <s v="Mobile"/>
    <s v="25-34"/>
    <n v="1"/>
    <n v="500"/>
    <n v="1"/>
    <n v="1"/>
    <s v="New"/>
  </r>
  <r>
    <x v="1"/>
    <d v="2025-10-03T00:00:00"/>
    <x v="1"/>
    <s v="Brno"/>
    <s v="Desktop"/>
    <s v="35-44"/>
    <n v="1"/>
    <n v="1200"/>
    <n v="0"/>
    <n v="0"/>
    <s v="Regular"/>
  </r>
  <r>
    <x v="2"/>
    <d v="2025-10-05T00:00:00"/>
    <x v="2"/>
    <s v="Ostrava"/>
    <s v="Mobile"/>
    <s v="18-24"/>
    <n v="0"/>
    <n v="0"/>
    <n v="999"/>
    <n v="1"/>
    <s v="New"/>
  </r>
  <r>
    <x v="3"/>
    <d v="2025-10-06T00:00:00"/>
    <x v="3"/>
    <s v="Praha"/>
    <s v="Mobile"/>
    <s v="25-34"/>
    <n v="1"/>
    <n v="300"/>
    <n v="2"/>
    <n v="1"/>
    <s v="Casual"/>
  </r>
  <r>
    <x v="4"/>
    <d v="2025-10-08T00:00:00"/>
    <x v="0"/>
    <s v="Plzeň"/>
    <s v="Desktop"/>
    <s v="45-54"/>
    <n v="1"/>
    <n v="2000"/>
    <n v="0"/>
    <n v="0"/>
    <s v="VIP-like"/>
  </r>
  <r>
    <x v="5"/>
    <d v="2025-10-10T00:00:00"/>
    <x v="0"/>
    <s v="Brno"/>
    <s v="Mobile"/>
    <s v="25-34"/>
    <n v="1"/>
    <n v="700"/>
    <n v="1"/>
    <n v="1"/>
    <s v="Regular"/>
  </r>
  <r>
    <x v="6"/>
    <d v="2025-10-12T00:00:00"/>
    <x v="0"/>
    <s v="Praha"/>
    <s v="Mobile"/>
    <s v="35-44"/>
    <n v="1"/>
    <n v="900"/>
    <n v="3"/>
    <n v="1"/>
    <s v="Regular"/>
  </r>
  <r>
    <x v="7"/>
    <d v="2025-10-14T00:00:00"/>
    <x v="1"/>
    <s v="Liberec"/>
    <s v="Desktop"/>
    <s v="55+"/>
    <n v="1"/>
    <n v="150"/>
    <n v="5"/>
    <n v="0"/>
    <s v="Casual"/>
  </r>
  <r>
    <x v="8"/>
    <d v="2025-10-15T00:00:00"/>
    <x v="2"/>
    <s v="Brno"/>
    <s v="Mobile"/>
    <s v="18-24"/>
    <n v="0"/>
    <n v="0"/>
    <n v="999"/>
    <n v="0"/>
    <s v="New"/>
  </r>
  <r>
    <x v="9"/>
    <d v="2025-10-18T00:00:00"/>
    <x v="3"/>
    <s v="Ostrava"/>
    <s v="Desktop"/>
    <s v="25-34"/>
    <n v="1"/>
    <n v="400"/>
    <n v="1"/>
    <n v="1"/>
    <s v="Casual"/>
  </r>
  <r>
    <x v="10"/>
    <d v="2025-10-20T00:00:00"/>
    <x v="1"/>
    <s v="Praha"/>
    <s v="Mobile"/>
    <s v="35-44"/>
    <n v="1"/>
    <n v="2500"/>
    <n v="0"/>
    <n v="0"/>
    <s v="VIP-like"/>
  </r>
  <r>
    <x v="11"/>
    <d v="2025-10-22T00:00:00"/>
    <x v="0"/>
    <s v="Brno"/>
    <s v="Mobile"/>
    <s v="25-34"/>
    <n v="1"/>
    <n v="600"/>
    <n v="2"/>
    <n v="1"/>
    <s v="Regular"/>
  </r>
  <r>
    <x v="12"/>
    <m/>
    <x v="4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C001"/>
    <d v="2025-10-01T00:00:00"/>
    <x v="0"/>
    <s v="Praha"/>
    <s v="Mobile"/>
    <s v="25-34"/>
    <n v="1"/>
    <n v="500"/>
    <n v="1"/>
    <n v="1"/>
    <s v="New"/>
    <n v="420"/>
  </r>
  <r>
    <s v="C002"/>
    <d v="2025-10-03T00:00:00"/>
    <x v="1"/>
    <s v="Brno"/>
    <s v="Desktop"/>
    <s v="35-44"/>
    <n v="1"/>
    <n v="1200"/>
    <n v="0"/>
    <n v="0"/>
    <s v="Regular"/>
    <n v="1380"/>
  </r>
  <r>
    <s v="C003"/>
    <d v="2025-10-05T00:00:00"/>
    <x v="2"/>
    <s v="Ostrava"/>
    <s v="Mobile"/>
    <s v="18-24"/>
    <n v="0"/>
    <n v="0"/>
    <n v="999"/>
    <n v="1"/>
    <s v="New"/>
    <n v="0"/>
  </r>
  <r>
    <s v="C004"/>
    <d v="2025-10-06T00:00:00"/>
    <x v="3"/>
    <s v="Praha"/>
    <s v="Mobile"/>
    <s v="25-34"/>
    <n v="1"/>
    <n v="300"/>
    <n v="2"/>
    <n v="1"/>
    <s v="Casual"/>
    <n v="180"/>
  </r>
  <r>
    <s v="C005"/>
    <d v="2025-10-08T00:00:00"/>
    <x v="0"/>
    <s v="Plzeň"/>
    <s v="Desktop"/>
    <s v="45-54"/>
    <n v="1"/>
    <n v="2000"/>
    <n v="0"/>
    <n v="0"/>
    <s v="VIP-like"/>
    <n v="3200"/>
  </r>
  <r>
    <s v="C006"/>
    <d v="2025-10-10T00:00:00"/>
    <x v="0"/>
    <s v="Brno"/>
    <s v="Mobile"/>
    <s v="25-34"/>
    <n v="1"/>
    <n v="700"/>
    <n v="1"/>
    <n v="1"/>
    <s v="Regular"/>
    <n v="510"/>
  </r>
  <r>
    <s v="C007"/>
    <d v="2025-10-12T00:00:00"/>
    <x v="0"/>
    <s v="Praha"/>
    <s v="Mobile"/>
    <s v="35-44"/>
    <n v="1"/>
    <n v="900"/>
    <n v="3"/>
    <n v="1"/>
    <s v="Regular"/>
    <n v="760"/>
  </r>
  <r>
    <s v="C008"/>
    <d v="2025-10-14T00:00:00"/>
    <x v="1"/>
    <s v="Liberec"/>
    <s v="Desktop"/>
    <s v="55+"/>
    <n v="1"/>
    <n v="150"/>
    <n v="5"/>
    <n v="0"/>
    <s v="Casual"/>
    <n v="55"/>
  </r>
  <r>
    <s v="C009"/>
    <d v="2025-10-15T00:00:00"/>
    <x v="2"/>
    <s v="Brno"/>
    <s v="Mobile"/>
    <s v="18-24"/>
    <n v="0"/>
    <n v="0"/>
    <n v="999"/>
    <n v="0"/>
    <s v="New"/>
    <n v="0"/>
  </r>
  <r>
    <s v="C010"/>
    <d v="2025-10-18T00:00:00"/>
    <x v="3"/>
    <s v="Ostrava"/>
    <s v="Desktop"/>
    <s v="25-34"/>
    <n v="1"/>
    <n v="400"/>
    <n v="1"/>
    <n v="1"/>
    <s v="Casual"/>
    <n v="210"/>
  </r>
  <r>
    <s v="C011"/>
    <d v="2025-10-20T00:00:00"/>
    <x v="1"/>
    <s v="Praha"/>
    <s v="Mobile"/>
    <s v="35-44"/>
    <n v="1"/>
    <n v="2500"/>
    <n v="0"/>
    <n v="0"/>
    <s v="VIP-like"/>
    <n v="4100"/>
  </r>
  <r>
    <s v="C012"/>
    <d v="2025-10-22T00:00:00"/>
    <x v="0"/>
    <s v="Brno"/>
    <s v="Mobile"/>
    <s v="25-34"/>
    <n v="1"/>
    <n v="600"/>
    <n v="2"/>
    <n v="1"/>
    <s v="Regular"/>
    <n v="33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2"/>
    <n v="420"/>
    <n v="3"/>
    <x v="0"/>
  </r>
  <r>
    <x v="1"/>
    <n v="34"/>
    <n v="1380"/>
    <n v="1"/>
    <x v="1"/>
  </r>
  <r>
    <x v="2"/>
    <n v="0"/>
    <n v="0"/>
    <n v="90"/>
    <x v="2"/>
  </r>
  <r>
    <x v="3"/>
    <n v="6"/>
    <n v="180"/>
    <n v="12"/>
    <x v="0"/>
  </r>
  <r>
    <x v="4"/>
    <n v="55"/>
    <n v="3200"/>
    <n v="0"/>
    <x v="1"/>
  </r>
  <r>
    <x v="5"/>
    <n v="18"/>
    <n v="510"/>
    <n v="5"/>
    <x v="0"/>
  </r>
  <r>
    <x v="6"/>
    <n v="22"/>
    <n v="760"/>
    <n v="2"/>
    <x v="1"/>
  </r>
  <r>
    <x v="7"/>
    <n v="3"/>
    <n v="55"/>
    <n v="27"/>
    <x v="0"/>
  </r>
  <r>
    <x v="8"/>
    <n v="0"/>
    <n v="0"/>
    <n v="90"/>
    <x v="2"/>
  </r>
  <r>
    <x v="9"/>
    <n v="8"/>
    <n v="210"/>
    <n v="15"/>
    <x v="0"/>
  </r>
  <r>
    <x v="10"/>
    <n v="61"/>
    <n v="4100"/>
    <n v="0"/>
    <x v="1"/>
  </r>
  <r>
    <x v="11"/>
    <n v="14"/>
    <n v="330"/>
    <n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E08ED-5793-4BF2-A897-E3AA910437B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15:G19" firstHeaderRow="1" firstDataRow="1" firstDataCol="1"/>
  <pivotFields count="12">
    <pivotField showAll="0"/>
    <pivotField numFmtId="14" showAll="0"/>
    <pivotField axis="axisRow" showAll="0" measureFilter="1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dataField="1" numFmtId="1" showAll="0"/>
  </pivotFields>
  <rowFields count="1">
    <field x="2"/>
  </rowFields>
  <rowItems count="4">
    <i>
      <x v="1"/>
    </i>
    <i>
      <x v="3"/>
    </i>
    <i>
      <x/>
    </i>
    <i t="grand">
      <x/>
    </i>
  </rowItems>
  <colItems count="1">
    <i/>
  </colItems>
  <dataFields count="1">
    <dataField name="Sum of gross_revenue_90d" fld="11" baseField="0" baseItem="0" numFmtId="1"/>
  </dataFields>
  <formats count="5">
    <format dxfId="9">
      <pivotArea dataOnly="0" outline="0" axis="axisValues" fieldPosition="0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field="2" type="button" dataOnly="0" labelOnly="1" outline="0" axis="axisRow" fieldPosition="0"/>
    </format>
    <format dxfId="5">
      <pivotArea field="2" type="button" dataOnly="0" labelOnly="1" outline="0" axis="axisRow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2CA03-4F86-4C3F-81B3-4574DE5C826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2:B17" firstHeaderRow="1" firstDataRow="1" firstDataCol="1"/>
  <pivotFields count="11"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 measureFilter="1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1"/>
    </i>
    <i>
      <x v="3"/>
    </i>
    <i>
      <x v="4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formats count="6">
    <format dxfId="15">
      <pivotArea field="2" type="button" dataOnly="0" labelOnly="1" outline="0" axis="axisRow" fieldPosition="0"/>
    </format>
    <format dxfId="14">
      <pivotArea dataOnly="0" labelOnly="1" outline="0" axis="axisValues" fieldPosition="0"/>
    </format>
    <format dxfId="13">
      <pivotArea field="2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9147A-9E24-4EFC-87A7-3AB7986E31B3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egment">
  <location ref="G2:H6" firstHeaderRow="1" firstDataRow="1" firstDataCol="1"/>
  <pivotFields count="5"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dataField="1" numFmtId="1" showAll="0"/>
    <pivotField numFmtId="1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Průměrný hrubý výnos" fld="2" subtotal="average" baseField="4" baseItem="0" numFmtId="1"/>
  </dataFields>
  <formats count="5">
    <format dxfId="4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field="4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collapsedLevelsAreSubtotals="1" fieldPosition="0">
        <references count="1">
          <reference field="4" count="0"/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C4562-8EE9-46A3-A136-0381E049CCE5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egment">
  <location ref="A15:B19" firstHeaderRow="1" firstDataRow="1" firstDataCol="1"/>
  <pivotFields count="5"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" showAll="0"/>
    <pivotField numFmtId="1" showAll="0"/>
    <pivotField numFmtId="1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Počet zákazníků 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CF99-9A08-4CA1-AD2E-D0D0F394AC80}">
  <dimension ref="A1:N124"/>
  <sheetViews>
    <sheetView tabSelected="1" topLeftCell="A113" workbookViewId="0">
      <selection activeCell="P98" sqref="P98"/>
    </sheetView>
  </sheetViews>
  <sheetFormatPr defaultRowHeight="15"/>
  <cols>
    <col min="1" max="7" width="20.28515625" customWidth="1"/>
  </cols>
  <sheetData>
    <row r="1" spans="1:14" ht="34.5">
      <c r="A1" s="71" t="s">
        <v>259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3" spans="1:14" ht="28.5">
      <c r="A3" s="70" t="s">
        <v>163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15.75" thickBot="1"/>
    <row r="5" spans="1:14" ht="45">
      <c r="A5" s="34" t="s">
        <v>164</v>
      </c>
      <c r="B5" s="35" t="s">
        <v>165</v>
      </c>
      <c r="C5" s="35" t="s">
        <v>169</v>
      </c>
      <c r="D5" s="35" t="s">
        <v>170</v>
      </c>
      <c r="E5" s="35" t="s">
        <v>167</v>
      </c>
      <c r="F5" s="35" t="s">
        <v>168</v>
      </c>
      <c r="G5" s="36" t="s">
        <v>166</v>
      </c>
    </row>
    <row r="6" spans="1:14" ht="47.25" customHeight="1" thickBot="1">
      <c r="A6" s="65">
        <f>COUNTA(Customers!A4:A15)</f>
        <v>10</v>
      </c>
      <c r="B6" s="66">
        <f>COUNTIF(Customers!G4:G15,"1")/COUNTA(Customers!A4:A15)</f>
        <v>0.8</v>
      </c>
      <c r="C6" s="67">
        <f>AVERAGE(Customers!H4:H15)</f>
        <v>755</v>
      </c>
      <c r="D6" s="67">
        <f>MEDIAN(Customers!H4:H15)</f>
        <v>500</v>
      </c>
      <c r="E6" s="67">
        <f>AVERAGE(Activity_90d!D4:D15)</f>
        <v>934.5</v>
      </c>
      <c r="F6" s="67">
        <f>MEDIAN(Activity_90d!D4:D15)</f>
        <v>270</v>
      </c>
      <c r="G6" s="68">
        <f>COUNTIF(Activity_90d!I4:I15,"&lt;=30")/COUNTA(Customers!A4:A15)</f>
        <v>0.8</v>
      </c>
    </row>
    <row r="8" spans="1:14">
      <c r="A8" t="s">
        <v>188</v>
      </c>
    </row>
    <row r="9" spans="1:14">
      <c r="A9" t="s">
        <v>189</v>
      </c>
    </row>
    <row r="10" spans="1:14">
      <c r="A10" t="s">
        <v>190</v>
      </c>
    </row>
    <row r="12" spans="1:14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</row>
    <row r="13" spans="1:14" ht="21">
      <c r="A13" s="77"/>
      <c r="B13" s="77"/>
      <c r="C13" s="77"/>
      <c r="D13" s="77"/>
      <c r="E13" s="78"/>
      <c r="F13" s="78"/>
      <c r="G13" s="78"/>
      <c r="H13" s="78"/>
      <c r="I13" s="78"/>
      <c r="J13" s="79"/>
      <c r="K13" s="79"/>
      <c r="L13" s="79"/>
      <c r="M13" s="76"/>
    </row>
    <row r="14" spans="1:14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</row>
    <row r="15" spans="1:14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</row>
    <row r="16" spans="1:14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</row>
    <row r="17" spans="1:13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</row>
    <row r="18" spans="1:13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</row>
    <row r="19" spans="1:13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</row>
    <row r="20" spans="1:13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</row>
    <row r="21" spans="1:13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</row>
    <row r="22" spans="1:13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</row>
    <row r="23" spans="1:1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</row>
    <row r="24" spans="1:13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</row>
    <row r="25" spans="1:13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</row>
    <row r="26" spans="1:13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</row>
    <row r="27" spans="1:13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</row>
    <row r="28" spans="1:13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1:13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</row>
    <row r="30" spans="1:13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</row>
    <row r="32" spans="1:13">
      <c r="A32" t="s">
        <v>199</v>
      </c>
      <c r="F32" t="s">
        <v>203</v>
      </c>
    </row>
    <row r="33" spans="1:14">
      <c r="A33" t="s">
        <v>200</v>
      </c>
      <c r="F33" t="s">
        <v>201</v>
      </c>
    </row>
    <row r="36" spans="1:14" ht="18.75">
      <c r="A36" s="74" t="s">
        <v>282</v>
      </c>
      <c r="B36" s="75"/>
      <c r="C36" s="75"/>
      <c r="D36" s="75"/>
      <c r="E36" s="75"/>
    </row>
    <row r="37" spans="1:14">
      <c r="G37" s="19"/>
      <c r="H37" s="19"/>
      <c r="I37" s="19"/>
      <c r="J37" s="19"/>
    </row>
    <row r="39" spans="1:14" ht="28.5">
      <c r="A39" s="70" t="s">
        <v>271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58" spans="1:1">
      <c r="A58" t="s">
        <v>209</v>
      </c>
    </row>
    <row r="59" spans="1:1">
      <c r="A59" t="s">
        <v>210</v>
      </c>
    </row>
    <row r="60" spans="1:1">
      <c r="A60" t="s">
        <v>211</v>
      </c>
    </row>
    <row r="63" spans="1:1">
      <c r="A63" t="s">
        <v>212</v>
      </c>
    </row>
    <row r="64" spans="1:1">
      <c r="A64" t="s">
        <v>213</v>
      </c>
    </row>
    <row r="65" spans="1:14">
      <c r="A65" t="s">
        <v>214</v>
      </c>
    </row>
    <row r="66" spans="1:14">
      <c r="A66" t="s">
        <v>215</v>
      </c>
    </row>
    <row r="68" spans="1:14">
      <c r="A68" t="s">
        <v>217</v>
      </c>
      <c r="F68" s="73" t="s">
        <v>216</v>
      </c>
      <c r="G68" s="73"/>
      <c r="H68">
        <v>375</v>
      </c>
    </row>
    <row r="69" spans="1:14">
      <c r="F69" s="51"/>
    </row>
    <row r="70" spans="1:14" ht="18.75">
      <c r="A70" s="75" t="s">
        <v>283</v>
      </c>
      <c r="B70" s="75"/>
      <c r="C70" s="75"/>
      <c r="D70" s="75"/>
    </row>
    <row r="72" spans="1:14" ht="28.5">
      <c r="A72" s="70" t="s">
        <v>260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</row>
    <row r="74" spans="1:14">
      <c r="A74" t="s">
        <v>261</v>
      </c>
    </row>
    <row r="76" spans="1:14">
      <c r="A76" s="52" t="s">
        <v>218</v>
      </c>
      <c r="B76" s="52" t="s">
        <v>219</v>
      </c>
      <c r="C76" s="53" t="s">
        <v>220</v>
      </c>
      <c r="D76" s="53" t="s">
        <v>221</v>
      </c>
      <c r="E76" s="53" t="s">
        <v>222</v>
      </c>
      <c r="F76" s="53" t="s">
        <v>223</v>
      </c>
      <c r="G76" s="52" t="s">
        <v>224</v>
      </c>
    </row>
    <row r="77" spans="1:14">
      <c r="A77" s="54" t="s">
        <v>123</v>
      </c>
      <c r="B77" s="55">
        <f>AVERAGEIF(Campaign_AB!B$2:B$13,"A",Campaign_AB!D$2:D$13)</f>
        <v>0.83333333333333337</v>
      </c>
      <c r="C77" s="55">
        <f>AVERAGEIF(Campaign_AB!B$2:B$13,"A",Campaign_AB!E$2:E$13)</f>
        <v>0.66666666666666663</v>
      </c>
      <c r="D77" s="56">
        <f>AVERAGEIF(Campaign_AB!B$2:B$13,"A",Campaign_AB!F$2:F$13)</f>
        <v>0.66666666666666663</v>
      </c>
      <c r="E77" s="55">
        <f>AVERAGEIF(Campaign_AB!B$2:B$13,"A",Campaign_AB!G$2:G$13)</f>
        <v>0.83333333333333337</v>
      </c>
      <c r="F77" s="57">
        <f>AVERAGEIF(Campaign_AB!B$2:B$13,"A",Campaign_AB!H$2:H$13)</f>
        <v>185.83333333333334</v>
      </c>
      <c r="G77" s="55">
        <f>AVERAGEIF(Campaign_AB!B$2:B$13,"A",Campaign_AB!I$2:I$13)</f>
        <v>0.16666666666666666</v>
      </c>
    </row>
    <row r="78" spans="1:14">
      <c r="A78" s="54" t="s">
        <v>124</v>
      </c>
      <c r="B78" s="55">
        <f>AVERAGEIF(Campaign_AB!B$2:B$13,"B",Campaign_AB!D$2:D$13)</f>
        <v>0.66666666666666663</v>
      </c>
      <c r="C78" s="55">
        <f>AVERAGEIF(Campaign_AB!B$2:B$13,"B",Campaign_AB!E$2:E$13)</f>
        <v>0.5</v>
      </c>
      <c r="D78" s="56">
        <f>AVERAGEIF(Campaign_AB!B$2:B$13,"B",Campaign_AB!F$2:F$13)</f>
        <v>0.33333333333333331</v>
      </c>
      <c r="E78" s="55">
        <f>AVERAGEIF(Campaign_AB!B$2:B$13,"B",Campaign_AB!G$2:G$13)</f>
        <v>0.66666666666666663</v>
      </c>
      <c r="F78" s="58">
        <f>AVERAGEIF(Campaign_AB!B$2:B$13,"B",Campaign_AB!H$2:H$13)</f>
        <v>70.833333333333329</v>
      </c>
      <c r="G78" s="55">
        <f>AVERAGEIF(Campaign_AB!B$2:B$13,"B",Campaign_AB!I$2:I$13)</f>
        <v>0.16666666666666666</v>
      </c>
    </row>
    <row r="79" spans="1:14">
      <c r="D79" s="14"/>
      <c r="E79" s="14"/>
      <c r="F79" s="14"/>
      <c r="G79" s="14"/>
    </row>
    <row r="80" spans="1:14">
      <c r="A80" t="s">
        <v>225</v>
      </c>
      <c r="D80" s="14"/>
      <c r="E80" s="14"/>
      <c r="F80" s="14"/>
      <c r="G80" s="14"/>
    </row>
    <row r="81" spans="1:14">
      <c r="A81" t="s">
        <v>226</v>
      </c>
      <c r="D81" s="14"/>
      <c r="E81" s="14"/>
      <c r="F81" s="14"/>
      <c r="G81" s="14"/>
    </row>
    <row r="82" spans="1:14">
      <c r="A82" t="s">
        <v>227</v>
      </c>
      <c r="D82" s="14"/>
      <c r="E82" s="14"/>
      <c r="F82" s="14"/>
      <c r="G82" s="14"/>
    </row>
    <row r="83" spans="1:14">
      <c r="A83" t="s">
        <v>228</v>
      </c>
      <c r="D83" s="14"/>
      <c r="E83" s="14"/>
      <c r="F83" s="14"/>
      <c r="G83" s="14"/>
    </row>
    <row r="85" spans="1:14">
      <c r="A85" t="s">
        <v>262</v>
      </c>
    </row>
    <row r="87" spans="1:14" ht="28.5">
      <c r="A87" s="70" t="s">
        <v>273</v>
      </c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</row>
    <row r="107" spans="1:14">
      <c r="A107" t="s">
        <v>278</v>
      </c>
      <c r="F107" t="s">
        <v>256</v>
      </c>
    </row>
    <row r="108" spans="1:14">
      <c r="A108" t="s">
        <v>279</v>
      </c>
      <c r="F108" t="s">
        <v>276</v>
      </c>
    </row>
    <row r="109" spans="1:14">
      <c r="A109" t="s">
        <v>280</v>
      </c>
      <c r="F109" t="s">
        <v>277</v>
      </c>
    </row>
    <row r="110" spans="1:14">
      <c r="A110" t="s">
        <v>281</v>
      </c>
    </row>
    <row r="111" spans="1:14">
      <c r="A111" t="s">
        <v>275</v>
      </c>
    </row>
    <row r="112" spans="1:14" ht="28.5">
      <c r="A112" s="69" t="s">
        <v>274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</row>
    <row r="114" spans="1:14">
      <c r="A114" s="23" t="s">
        <v>263</v>
      </c>
    </row>
    <row r="115" spans="1:14">
      <c r="A115" s="23" t="s">
        <v>264</v>
      </c>
    </row>
    <row r="116" spans="1:14">
      <c r="A116" s="23" t="s">
        <v>265</v>
      </c>
    </row>
    <row r="117" spans="1:14">
      <c r="A117" s="23" t="s">
        <v>266</v>
      </c>
    </row>
    <row r="119" spans="1:14" ht="28.5">
      <c r="A119" s="69" t="s">
        <v>272</v>
      </c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</row>
    <row r="121" spans="1:14">
      <c r="A121" s="23" t="s">
        <v>267</v>
      </c>
    </row>
    <row r="122" spans="1:14">
      <c r="A122" s="23" t="s">
        <v>268</v>
      </c>
    </row>
    <row r="123" spans="1:14">
      <c r="A123" s="23" t="s">
        <v>269</v>
      </c>
    </row>
    <row r="124" spans="1:14">
      <c r="A124" s="23" t="s">
        <v>270</v>
      </c>
    </row>
  </sheetData>
  <mergeCells count="9">
    <mergeCell ref="A119:N119"/>
    <mergeCell ref="A87:N87"/>
    <mergeCell ref="A72:N72"/>
    <mergeCell ref="A3:N3"/>
    <mergeCell ref="A1:N1"/>
    <mergeCell ref="A112:N112"/>
    <mergeCell ref="A13:D13"/>
    <mergeCell ref="F68:G68"/>
    <mergeCell ref="A39:N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0F39-C565-4A28-9AA2-961869C9A32C}">
  <dimension ref="A1:B33"/>
  <sheetViews>
    <sheetView topLeftCell="A13" workbookViewId="0">
      <selection activeCell="B29" sqref="B29"/>
    </sheetView>
  </sheetViews>
  <sheetFormatPr defaultRowHeight="15"/>
  <cols>
    <col min="2" max="2" width="89.140625" customWidth="1"/>
  </cols>
  <sheetData>
    <row r="1" spans="1:2" ht="24">
      <c r="A1" s="5" t="s">
        <v>43</v>
      </c>
    </row>
    <row r="3" spans="1:2">
      <c r="A3" t="s">
        <v>44</v>
      </c>
    </row>
    <row r="5" spans="1:2">
      <c r="A5" s="1" t="s">
        <v>45</v>
      </c>
      <c r="B5" s="1" t="s">
        <v>46</v>
      </c>
    </row>
    <row r="6" spans="1:2" ht="48" customHeight="1">
      <c r="A6" s="2" t="s">
        <v>47</v>
      </c>
      <c r="B6" s="2" t="s">
        <v>48</v>
      </c>
    </row>
    <row r="7" spans="1:2">
      <c r="A7" s="2" t="s">
        <v>49</v>
      </c>
      <c r="B7" s="18" t="s">
        <v>50</v>
      </c>
    </row>
    <row r="8" spans="1:2" ht="44.25" customHeight="1">
      <c r="A8" s="2" t="s">
        <v>51</v>
      </c>
      <c r="B8" s="2" t="s">
        <v>52</v>
      </c>
    </row>
    <row r="9" spans="1:2">
      <c r="A9" s="2" t="s">
        <v>53</v>
      </c>
      <c r="B9" s="18" t="s">
        <v>54</v>
      </c>
    </row>
    <row r="10" spans="1:2" ht="45.75" customHeight="1">
      <c r="A10" s="2" t="s">
        <v>55</v>
      </c>
      <c r="B10" s="2" t="s">
        <v>56</v>
      </c>
    </row>
    <row r="11" spans="1:2" ht="48.75" customHeight="1">
      <c r="A11" s="2" t="s">
        <v>57</v>
      </c>
      <c r="B11" s="2" t="s">
        <v>58</v>
      </c>
    </row>
    <row r="12" spans="1:2" s="19" customFormat="1" ht="42" customHeight="1">
      <c r="A12" s="18" t="s">
        <v>59</v>
      </c>
      <c r="B12" s="18" t="s">
        <v>60</v>
      </c>
    </row>
    <row r="13" spans="1:2" ht="51.75" customHeight="1">
      <c r="A13" s="2" t="s">
        <v>61</v>
      </c>
      <c r="B13" s="2" t="s">
        <v>62</v>
      </c>
    </row>
    <row r="14" spans="1:2" s="19" customFormat="1">
      <c r="A14" s="18" t="s">
        <v>63</v>
      </c>
      <c r="B14" s="18" t="s">
        <v>64</v>
      </c>
    </row>
    <row r="15" spans="1:2">
      <c r="A15" s="2" t="s">
        <v>65</v>
      </c>
      <c r="B15" s="2" t="s">
        <v>66</v>
      </c>
    </row>
    <row r="16" spans="1:2" ht="29.25" customHeight="1">
      <c r="A16" s="2" t="s">
        <v>67</v>
      </c>
      <c r="B16" s="2" t="s">
        <v>68</v>
      </c>
    </row>
    <row r="17" spans="1:2" ht="29.25" customHeight="1">
      <c r="A17" s="2" t="s">
        <v>69</v>
      </c>
      <c r="B17" s="2" t="s">
        <v>70</v>
      </c>
    </row>
    <row r="18" spans="1:2" ht="29.25" customHeight="1">
      <c r="A18" s="2" t="s">
        <v>71</v>
      </c>
      <c r="B18" s="2" t="s">
        <v>72</v>
      </c>
    </row>
    <row r="19" spans="1:2" ht="29.25" customHeight="1">
      <c r="A19" s="2" t="s">
        <v>73</v>
      </c>
      <c r="B19" s="2" t="s">
        <v>74</v>
      </c>
    </row>
    <row r="20" spans="1:2" ht="29.25" customHeight="1">
      <c r="A20" s="2" t="s">
        <v>75</v>
      </c>
      <c r="B20" s="2" t="s">
        <v>76</v>
      </c>
    </row>
    <row r="21" spans="1:2" ht="29.25" customHeight="1">
      <c r="A21" s="2" t="s">
        <v>77</v>
      </c>
      <c r="B21" s="2" t="s">
        <v>78</v>
      </c>
    </row>
    <row r="22" spans="1:2" ht="29.25" customHeight="1">
      <c r="A22" s="2" t="s">
        <v>79</v>
      </c>
      <c r="B22" s="2" t="s">
        <v>80</v>
      </c>
    </row>
    <row r="23" spans="1:2" s="19" customFormat="1">
      <c r="A23" s="18" t="s">
        <v>81</v>
      </c>
      <c r="B23" s="18" t="s">
        <v>82</v>
      </c>
    </row>
    <row r="24" spans="1:2" ht="74.25" customHeight="1">
      <c r="A24" s="2" t="s">
        <v>83</v>
      </c>
      <c r="B24" s="2" t="s">
        <v>84</v>
      </c>
    </row>
    <row r="25" spans="1:2" s="19" customFormat="1">
      <c r="A25" s="18" t="s">
        <v>85</v>
      </c>
      <c r="B25" s="18" t="s">
        <v>86</v>
      </c>
    </row>
    <row r="26" spans="1:2" ht="72.75" customHeight="1">
      <c r="A26" s="2" t="s">
        <v>87</v>
      </c>
      <c r="B26" s="2" t="s">
        <v>88</v>
      </c>
    </row>
    <row r="27" spans="1:2" ht="51" customHeight="1">
      <c r="A27" s="2" t="s">
        <v>89</v>
      </c>
      <c r="B27" s="2" t="s">
        <v>90</v>
      </c>
    </row>
    <row r="28" spans="1:2" s="19" customFormat="1">
      <c r="A28" s="18" t="s">
        <v>91</v>
      </c>
      <c r="B28" s="18" t="s">
        <v>92</v>
      </c>
    </row>
    <row r="29" spans="1:2" ht="63.75" customHeight="1">
      <c r="A29" s="2" t="s">
        <v>93</v>
      </c>
      <c r="B29" s="2" t="s">
        <v>94</v>
      </c>
    </row>
    <row r="30" spans="1:2" s="19" customFormat="1">
      <c r="A30" s="18" t="s">
        <v>95</v>
      </c>
      <c r="B30" s="18" t="s">
        <v>96</v>
      </c>
    </row>
    <row r="31" spans="1:2" ht="61.5" customHeight="1">
      <c r="A31" s="2" t="s">
        <v>97</v>
      </c>
      <c r="B31" s="2" t="s">
        <v>98</v>
      </c>
    </row>
    <row r="32" spans="1:2">
      <c r="A32" s="2" t="s">
        <v>99</v>
      </c>
      <c r="B32" s="2" t="s">
        <v>100</v>
      </c>
    </row>
    <row r="33" spans="1:2" ht="50.25" customHeight="1">
      <c r="A33" s="2" t="s">
        <v>101</v>
      </c>
      <c r="B33" s="2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C4F6-51CF-45D9-A145-8C376413BF78}">
  <dimension ref="A1:B41"/>
  <sheetViews>
    <sheetView workbookViewId="0">
      <selection activeCell="B25" sqref="B25"/>
    </sheetView>
  </sheetViews>
  <sheetFormatPr defaultRowHeight="15"/>
  <cols>
    <col min="1" max="1" width="23" customWidth="1"/>
    <col min="2" max="2" width="94.5703125" customWidth="1"/>
  </cols>
  <sheetData>
    <row r="1" spans="1:2" ht="26.25" customHeight="1">
      <c r="A1" s="16" t="s">
        <v>125</v>
      </c>
    </row>
    <row r="2" spans="1:2">
      <c r="A2" s="1" t="s">
        <v>126</v>
      </c>
      <c r="B2" s="1" t="s">
        <v>127</v>
      </c>
    </row>
    <row r="3" spans="1:2" ht="27.75" customHeight="1">
      <c r="A3" s="30" t="s">
        <v>0</v>
      </c>
      <c r="B3" s="2" t="s">
        <v>128</v>
      </c>
    </row>
    <row r="4" spans="1:2" ht="27.75" customHeight="1">
      <c r="A4" s="30" t="s">
        <v>1</v>
      </c>
      <c r="B4" s="2" t="s">
        <v>129</v>
      </c>
    </row>
    <row r="5" spans="1:2" ht="27.75" customHeight="1">
      <c r="A5" s="30" t="s">
        <v>2</v>
      </c>
      <c r="B5" s="2" t="s">
        <v>130</v>
      </c>
    </row>
    <row r="6" spans="1:2" ht="27.75" customHeight="1">
      <c r="A6" s="30" t="s">
        <v>3</v>
      </c>
      <c r="B6" s="2" t="s">
        <v>131</v>
      </c>
    </row>
    <row r="7" spans="1:2" ht="27.75" customHeight="1">
      <c r="A7" s="30" t="s">
        <v>4</v>
      </c>
      <c r="B7" s="2" t="s">
        <v>132</v>
      </c>
    </row>
    <row r="8" spans="1:2" ht="27.75" customHeight="1">
      <c r="A8" s="30" t="s">
        <v>5</v>
      </c>
      <c r="B8" s="2" t="s">
        <v>133</v>
      </c>
    </row>
    <row r="9" spans="1:2" ht="27.75" customHeight="1">
      <c r="A9" s="30" t="s">
        <v>6</v>
      </c>
      <c r="B9" s="2" t="s">
        <v>134</v>
      </c>
    </row>
    <row r="10" spans="1:2" ht="27.75" customHeight="1">
      <c r="A10" s="30" t="s">
        <v>7</v>
      </c>
      <c r="B10" s="2" t="s">
        <v>135</v>
      </c>
    </row>
    <row r="11" spans="1:2" ht="27.75" customHeight="1">
      <c r="A11" s="30" t="s">
        <v>8</v>
      </c>
      <c r="B11" s="2" t="s">
        <v>136</v>
      </c>
    </row>
    <row r="12" spans="1:2" ht="27.75" customHeight="1">
      <c r="A12" s="30" t="s">
        <v>9</v>
      </c>
      <c r="B12" s="2" t="s">
        <v>137</v>
      </c>
    </row>
    <row r="13" spans="1:2" ht="27.75" customHeight="1">
      <c r="A13" s="30" t="s">
        <v>10</v>
      </c>
      <c r="B13" s="2" t="s">
        <v>138</v>
      </c>
    </row>
    <row r="14" spans="1:2" ht="18" customHeight="1"/>
    <row r="15" spans="1:2" ht="47.25" customHeight="1">
      <c r="A15" s="16" t="s">
        <v>139</v>
      </c>
    </row>
    <row r="16" spans="1:2" ht="31.5" customHeight="1">
      <c r="A16" s="1" t="s">
        <v>126</v>
      </c>
      <c r="B16" s="1" t="s">
        <v>127</v>
      </c>
    </row>
    <row r="17" spans="1:2" ht="19.5" customHeight="1">
      <c r="A17" s="30" t="s">
        <v>0</v>
      </c>
      <c r="B17" s="2" t="s">
        <v>140</v>
      </c>
    </row>
    <row r="18" spans="1:2" ht="19.5" customHeight="1">
      <c r="A18" s="30" t="s">
        <v>103</v>
      </c>
      <c r="B18" s="2" t="s">
        <v>141</v>
      </c>
    </row>
    <row r="19" spans="1:2" ht="19.5" customHeight="1">
      <c r="A19" s="30" t="s">
        <v>104</v>
      </c>
      <c r="B19" s="2" t="s">
        <v>142</v>
      </c>
    </row>
    <row r="20" spans="1:2" ht="30.75" customHeight="1">
      <c r="A20" s="30" t="s">
        <v>105</v>
      </c>
      <c r="B20" s="2" t="s">
        <v>143</v>
      </c>
    </row>
    <row r="21" spans="1:2" ht="19.5" customHeight="1">
      <c r="A21" s="30" t="s">
        <v>106</v>
      </c>
      <c r="B21" s="2" t="s">
        <v>144</v>
      </c>
    </row>
    <row r="22" spans="1:2" ht="19.5" customHeight="1">
      <c r="A22" s="30" t="s">
        <v>107</v>
      </c>
      <c r="B22" s="2" t="s">
        <v>145</v>
      </c>
    </row>
    <row r="23" spans="1:2" ht="19.5" customHeight="1">
      <c r="A23" s="30" t="s">
        <v>108</v>
      </c>
      <c r="B23" s="2" t="s">
        <v>146</v>
      </c>
    </row>
    <row r="24" spans="1:2" ht="19.5" customHeight="1">
      <c r="A24" s="30" t="s">
        <v>109</v>
      </c>
      <c r="B24" s="2" t="s">
        <v>147</v>
      </c>
    </row>
    <row r="25" spans="1:2" ht="19.5" customHeight="1">
      <c r="A25" s="30" t="s">
        <v>110</v>
      </c>
      <c r="B25" s="2" t="s">
        <v>148</v>
      </c>
    </row>
    <row r="26" spans="1:2" ht="19.5" customHeight="1">
      <c r="A26" s="30" t="s">
        <v>111</v>
      </c>
      <c r="B26" s="2" t="s">
        <v>149</v>
      </c>
    </row>
    <row r="27" spans="1:2" ht="19.5" customHeight="1">
      <c r="A27" s="30" t="s">
        <v>112</v>
      </c>
      <c r="B27" s="2" t="s">
        <v>150</v>
      </c>
    </row>
    <row r="28" spans="1:2" ht="19.5" customHeight="1">
      <c r="A28" s="30" t="s">
        <v>113</v>
      </c>
      <c r="B28" s="2" t="s">
        <v>151</v>
      </c>
    </row>
    <row r="30" spans="1:2" ht="48" customHeight="1">
      <c r="A30" s="17" t="s">
        <v>152</v>
      </c>
    </row>
    <row r="31" spans="1:2">
      <c r="A31" s="15" t="s">
        <v>126</v>
      </c>
      <c r="B31" s="15" t="s">
        <v>127</v>
      </c>
    </row>
    <row r="32" spans="1:2">
      <c r="A32" s="30" t="s">
        <v>0</v>
      </c>
      <c r="B32" s="2" t="s">
        <v>153</v>
      </c>
    </row>
    <row r="33" spans="1:2">
      <c r="A33" s="30" t="s">
        <v>114</v>
      </c>
      <c r="B33" s="2" t="s">
        <v>156</v>
      </c>
    </row>
    <row r="34" spans="1:2">
      <c r="A34" s="30" t="s">
        <v>115</v>
      </c>
      <c r="B34" s="2" t="s">
        <v>157</v>
      </c>
    </row>
    <row r="35" spans="1:2">
      <c r="A35" s="30" t="s">
        <v>116</v>
      </c>
      <c r="B35" s="2" t="s">
        <v>158</v>
      </c>
    </row>
    <row r="36" spans="1:2">
      <c r="A36" s="30" t="s">
        <v>117</v>
      </c>
      <c r="B36" s="2" t="s">
        <v>159</v>
      </c>
    </row>
    <row r="37" spans="1:2">
      <c r="A37" s="30" t="s">
        <v>118</v>
      </c>
      <c r="B37" s="2" t="s">
        <v>160</v>
      </c>
    </row>
    <row r="38" spans="1:2" ht="30">
      <c r="A38" s="30" t="s">
        <v>119</v>
      </c>
      <c r="B38" s="2" t="s">
        <v>161</v>
      </c>
    </row>
    <row r="39" spans="1:2">
      <c r="A39" s="30" t="s">
        <v>120</v>
      </c>
      <c r="B39" s="2" t="s">
        <v>154</v>
      </c>
    </row>
    <row r="40" spans="1:2">
      <c r="A40" s="30" t="s">
        <v>121</v>
      </c>
      <c r="B40" s="2" t="s">
        <v>162</v>
      </c>
    </row>
    <row r="41" spans="1:2">
      <c r="A41" s="30" t="s">
        <v>122</v>
      </c>
      <c r="B41" s="2" t="s">
        <v>155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6A73-D6E0-4129-8B42-2FB4EF5EABE3}">
  <dimension ref="A1:N13"/>
  <sheetViews>
    <sheetView workbookViewId="0">
      <selection sqref="A1:A1048576"/>
    </sheetView>
  </sheetViews>
  <sheetFormatPr defaultRowHeight="15"/>
  <cols>
    <col min="1" max="1" width="14.5703125" customWidth="1"/>
    <col min="2" max="2" width="16" style="3" customWidth="1"/>
    <col min="3" max="3" width="22.42578125" customWidth="1"/>
    <col min="5" max="5" width="13" customWidth="1"/>
    <col min="6" max="6" width="12.85546875" style="9" customWidth="1"/>
    <col min="7" max="7" width="11.85546875" style="14" customWidth="1"/>
    <col min="8" max="8" width="20.5703125" style="14" customWidth="1"/>
    <col min="9" max="10" width="18.85546875" style="14" customWidth="1"/>
    <col min="11" max="11" width="18.28515625" customWidth="1"/>
    <col min="12" max="12" width="19.7109375" style="32" customWidth="1"/>
  </cols>
  <sheetData>
    <row r="1" spans="1:14" ht="45" customHeight="1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" t="s">
        <v>10</v>
      </c>
      <c r="L1" s="31" t="s">
        <v>105</v>
      </c>
      <c r="N1" t="s">
        <v>195</v>
      </c>
    </row>
    <row r="2" spans="1:14">
      <c r="A2" s="2" t="s">
        <v>11</v>
      </c>
      <c r="B2" s="4">
        <v>45931</v>
      </c>
      <c r="C2" s="2" t="s">
        <v>12</v>
      </c>
      <c r="D2" s="2" t="s">
        <v>13</v>
      </c>
      <c r="E2" s="2" t="s">
        <v>14</v>
      </c>
      <c r="F2" s="8" t="s">
        <v>15</v>
      </c>
      <c r="G2" s="13">
        <v>1</v>
      </c>
      <c r="H2" s="13">
        <v>500</v>
      </c>
      <c r="I2" s="13">
        <v>1</v>
      </c>
      <c r="J2" s="13">
        <v>1</v>
      </c>
      <c r="K2" s="2" t="s">
        <v>16</v>
      </c>
      <c r="L2" s="33">
        <f>_xlfn.XLOOKUP(A2,Activity_90d!A2:A13,Activity_90d!D2:D13)</f>
        <v>420</v>
      </c>
    </row>
    <row r="3" spans="1:14">
      <c r="A3" s="2" t="s">
        <v>17</v>
      </c>
      <c r="B3" s="4">
        <v>45933</v>
      </c>
      <c r="C3" s="2" t="s">
        <v>18</v>
      </c>
      <c r="D3" s="2" t="s">
        <v>19</v>
      </c>
      <c r="E3" s="2" t="s">
        <v>20</v>
      </c>
      <c r="F3" s="8" t="s">
        <v>21</v>
      </c>
      <c r="G3" s="13">
        <v>1</v>
      </c>
      <c r="H3" s="13">
        <v>1200</v>
      </c>
      <c r="I3" s="13">
        <v>0</v>
      </c>
      <c r="J3" s="13">
        <v>0</v>
      </c>
      <c r="K3" s="2" t="s">
        <v>22</v>
      </c>
      <c r="L3" s="33">
        <f>_xlfn.XLOOKUP(A3,Activity_90d!A3:A14,Activity_90d!D3:D14)</f>
        <v>1380</v>
      </c>
    </row>
    <row r="4" spans="1:14">
      <c r="A4" s="2" t="s">
        <v>23</v>
      </c>
      <c r="B4" s="4">
        <v>45935</v>
      </c>
      <c r="C4" s="2" t="s">
        <v>24</v>
      </c>
      <c r="D4" s="2" t="s">
        <v>25</v>
      </c>
      <c r="E4" s="2" t="s">
        <v>14</v>
      </c>
      <c r="F4" s="8" t="s">
        <v>26</v>
      </c>
      <c r="G4" s="13">
        <v>0</v>
      </c>
      <c r="H4" s="13">
        <v>0</v>
      </c>
      <c r="I4" s="13">
        <v>999</v>
      </c>
      <c r="J4" s="13">
        <v>1</v>
      </c>
      <c r="K4" s="2" t="s">
        <v>16</v>
      </c>
      <c r="L4" s="33">
        <f>_xlfn.XLOOKUP(A4,Activity_90d!A4:A15,Activity_90d!D4:D15)</f>
        <v>0</v>
      </c>
    </row>
    <row r="5" spans="1:14">
      <c r="A5" s="2" t="s">
        <v>27</v>
      </c>
      <c r="B5" s="4">
        <v>45936</v>
      </c>
      <c r="C5" s="2" t="s">
        <v>28</v>
      </c>
      <c r="D5" s="2" t="s">
        <v>13</v>
      </c>
      <c r="E5" s="2" t="s">
        <v>14</v>
      </c>
      <c r="F5" s="8" t="s">
        <v>15</v>
      </c>
      <c r="G5" s="13">
        <v>1</v>
      </c>
      <c r="H5" s="13">
        <v>300</v>
      </c>
      <c r="I5" s="13">
        <v>2</v>
      </c>
      <c r="J5" s="13">
        <v>1</v>
      </c>
      <c r="K5" s="2" t="s">
        <v>29</v>
      </c>
      <c r="L5" s="33">
        <f>_xlfn.XLOOKUP(A5,Activity_90d!A5:A16,Activity_90d!D5:D16)</f>
        <v>180</v>
      </c>
    </row>
    <row r="6" spans="1:14">
      <c r="A6" s="2" t="s">
        <v>30</v>
      </c>
      <c r="B6" s="4">
        <v>45938</v>
      </c>
      <c r="C6" s="2" t="s">
        <v>12</v>
      </c>
      <c r="D6" s="2" t="s">
        <v>31</v>
      </c>
      <c r="E6" s="2" t="s">
        <v>20</v>
      </c>
      <c r="F6" s="8" t="s">
        <v>32</v>
      </c>
      <c r="G6" s="13">
        <v>1</v>
      </c>
      <c r="H6" s="13">
        <v>2000</v>
      </c>
      <c r="I6" s="13">
        <v>0</v>
      </c>
      <c r="J6" s="13">
        <v>0</v>
      </c>
      <c r="K6" s="2" t="s">
        <v>33</v>
      </c>
      <c r="L6" s="33">
        <f>_xlfn.XLOOKUP(A6,Activity_90d!A6:A17,Activity_90d!D6:D17)</f>
        <v>3200</v>
      </c>
    </row>
    <row r="7" spans="1:14">
      <c r="A7" s="2" t="s">
        <v>34</v>
      </c>
      <c r="B7" s="4">
        <v>45940</v>
      </c>
      <c r="C7" s="2" t="s">
        <v>12</v>
      </c>
      <c r="D7" s="2" t="s">
        <v>19</v>
      </c>
      <c r="E7" s="2" t="s">
        <v>14</v>
      </c>
      <c r="F7" s="8" t="s">
        <v>15</v>
      </c>
      <c r="G7" s="13">
        <v>1</v>
      </c>
      <c r="H7" s="13">
        <v>700</v>
      </c>
      <c r="I7" s="13">
        <v>1</v>
      </c>
      <c r="J7" s="13">
        <v>1</v>
      </c>
      <c r="K7" s="2" t="s">
        <v>22</v>
      </c>
      <c r="L7" s="33">
        <f>_xlfn.XLOOKUP(A7,Activity_90d!A7:A18,Activity_90d!D7:D18)</f>
        <v>510</v>
      </c>
    </row>
    <row r="8" spans="1:14">
      <c r="A8" s="2" t="s">
        <v>35</v>
      </c>
      <c r="B8" s="4">
        <v>45942</v>
      </c>
      <c r="C8" s="2" t="s">
        <v>12</v>
      </c>
      <c r="D8" s="2" t="s">
        <v>13</v>
      </c>
      <c r="E8" s="2" t="s">
        <v>14</v>
      </c>
      <c r="F8" s="8" t="s">
        <v>21</v>
      </c>
      <c r="G8" s="13">
        <v>1</v>
      </c>
      <c r="H8" s="13">
        <v>900</v>
      </c>
      <c r="I8" s="13">
        <v>3</v>
      </c>
      <c r="J8" s="13">
        <v>1</v>
      </c>
      <c r="K8" s="2" t="s">
        <v>22</v>
      </c>
      <c r="L8" s="33">
        <f>_xlfn.XLOOKUP(A8,Activity_90d!A8:A19,Activity_90d!D8:D19)</f>
        <v>760</v>
      </c>
    </row>
    <row r="9" spans="1:14">
      <c r="A9" s="2" t="s">
        <v>36</v>
      </c>
      <c r="B9" s="4">
        <v>45944</v>
      </c>
      <c r="C9" s="2" t="s">
        <v>18</v>
      </c>
      <c r="D9" s="2" t="s">
        <v>37</v>
      </c>
      <c r="E9" s="2" t="s">
        <v>20</v>
      </c>
      <c r="F9" s="8" t="s">
        <v>38</v>
      </c>
      <c r="G9" s="13">
        <v>1</v>
      </c>
      <c r="H9" s="13">
        <v>150</v>
      </c>
      <c r="I9" s="13">
        <v>5</v>
      </c>
      <c r="J9" s="13">
        <v>0</v>
      </c>
      <c r="K9" s="2" t="s">
        <v>29</v>
      </c>
      <c r="L9" s="33">
        <f>_xlfn.XLOOKUP(A9,Activity_90d!A9:A20,Activity_90d!D9:D20)</f>
        <v>55</v>
      </c>
    </row>
    <row r="10" spans="1:14">
      <c r="A10" s="2" t="s">
        <v>39</v>
      </c>
      <c r="B10" s="4">
        <v>45945</v>
      </c>
      <c r="C10" s="2" t="s">
        <v>24</v>
      </c>
      <c r="D10" s="2" t="s">
        <v>19</v>
      </c>
      <c r="E10" s="2" t="s">
        <v>14</v>
      </c>
      <c r="F10" s="8" t="s">
        <v>26</v>
      </c>
      <c r="G10" s="13">
        <v>0</v>
      </c>
      <c r="H10" s="13">
        <v>0</v>
      </c>
      <c r="I10" s="13">
        <v>999</v>
      </c>
      <c r="J10" s="13">
        <v>0</v>
      </c>
      <c r="K10" s="2" t="s">
        <v>16</v>
      </c>
      <c r="L10" s="33">
        <f>_xlfn.XLOOKUP(A10,Activity_90d!A10:A21,Activity_90d!D10:D21)</f>
        <v>0</v>
      </c>
    </row>
    <row r="11" spans="1:14">
      <c r="A11" s="2" t="s">
        <v>40</v>
      </c>
      <c r="B11" s="4">
        <v>45948</v>
      </c>
      <c r="C11" s="2" t="s">
        <v>28</v>
      </c>
      <c r="D11" s="2" t="s">
        <v>25</v>
      </c>
      <c r="E11" s="2" t="s">
        <v>20</v>
      </c>
      <c r="F11" s="8" t="s">
        <v>15</v>
      </c>
      <c r="G11" s="13">
        <v>1</v>
      </c>
      <c r="H11" s="13">
        <v>400</v>
      </c>
      <c r="I11" s="13">
        <v>1</v>
      </c>
      <c r="J11" s="13">
        <v>1</v>
      </c>
      <c r="K11" s="2" t="s">
        <v>29</v>
      </c>
      <c r="L11" s="33">
        <f>_xlfn.XLOOKUP(A11,Activity_90d!A11:A22,Activity_90d!D11:D22)</f>
        <v>210</v>
      </c>
    </row>
    <row r="12" spans="1:14">
      <c r="A12" s="2" t="s">
        <v>41</v>
      </c>
      <c r="B12" s="4">
        <v>45950</v>
      </c>
      <c r="C12" s="2" t="s">
        <v>18</v>
      </c>
      <c r="D12" s="2" t="s">
        <v>13</v>
      </c>
      <c r="E12" s="2" t="s">
        <v>14</v>
      </c>
      <c r="F12" s="8" t="s">
        <v>21</v>
      </c>
      <c r="G12" s="13">
        <v>1</v>
      </c>
      <c r="H12" s="13">
        <v>2500</v>
      </c>
      <c r="I12" s="13">
        <v>0</v>
      </c>
      <c r="J12" s="13">
        <v>0</v>
      </c>
      <c r="K12" s="2" t="s">
        <v>33</v>
      </c>
      <c r="L12" s="33">
        <f>_xlfn.XLOOKUP(A12,Activity_90d!A12:A23,Activity_90d!D12:D23)</f>
        <v>4100</v>
      </c>
    </row>
    <row r="13" spans="1:14">
      <c r="A13" s="2" t="s">
        <v>42</v>
      </c>
      <c r="B13" s="4">
        <v>45952</v>
      </c>
      <c r="C13" s="2" t="s">
        <v>12</v>
      </c>
      <c r="D13" s="2" t="s">
        <v>19</v>
      </c>
      <c r="E13" s="2" t="s">
        <v>14</v>
      </c>
      <c r="F13" s="8" t="s">
        <v>15</v>
      </c>
      <c r="G13" s="13">
        <v>1</v>
      </c>
      <c r="H13" s="13">
        <v>600</v>
      </c>
      <c r="I13" s="13">
        <v>2</v>
      </c>
      <c r="J13" s="13">
        <v>1</v>
      </c>
      <c r="K13" s="2" t="s">
        <v>22</v>
      </c>
      <c r="L13" s="33">
        <f>_xlfn.XLOOKUP(A13,Activity_90d!A13:A24,Activity_90d!D13:D24)</f>
        <v>330</v>
      </c>
    </row>
  </sheetData>
  <autoFilter ref="A1:L1" xr:uid="{BB276A73-D6E0-4129-8B42-2FB4EF5EABE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EBFA-D683-43EF-8D51-B8038924B327}">
  <dimension ref="A1:L13"/>
  <sheetViews>
    <sheetView workbookViewId="0">
      <selection activeCell="D1" activeCellId="1" sqref="B1:B13 D1:D13"/>
    </sheetView>
  </sheetViews>
  <sheetFormatPr defaultRowHeight="15"/>
  <cols>
    <col min="1" max="1" width="14.5703125" customWidth="1"/>
    <col min="2" max="2" width="15.42578125" style="14" customWidth="1"/>
    <col min="3" max="3" width="13.42578125" style="14" customWidth="1"/>
    <col min="4" max="4" width="18.7109375" style="14" customWidth="1"/>
    <col min="5" max="5" width="17" style="14" customWidth="1"/>
    <col min="6" max="6" width="18.85546875" style="14" customWidth="1"/>
    <col min="7" max="7" width="21.85546875" style="14" customWidth="1"/>
    <col min="8" max="8" width="20.42578125" style="14" customWidth="1"/>
    <col min="9" max="9" width="20.28515625" style="14" customWidth="1"/>
    <col min="10" max="10" width="19.140625" style="14" customWidth="1"/>
    <col min="11" max="11" width="16.7109375" style="9" customWidth="1"/>
    <col min="12" max="12" width="17.42578125" style="14" customWidth="1"/>
  </cols>
  <sheetData>
    <row r="1" spans="1:12" ht="43.5" customHeight="1">
      <c r="A1" s="1" t="s">
        <v>0</v>
      </c>
      <c r="B1" s="12" t="s">
        <v>103</v>
      </c>
      <c r="C1" s="12" t="s">
        <v>104</v>
      </c>
      <c r="D1" s="12" t="s">
        <v>105</v>
      </c>
      <c r="E1" s="12" t="s">
        <v>106</v>
      </c>
      <c r="F1" s="12" t="s">
        <v>107</v>
      </c>
      <c r="G1" s="12" t="s">
        <v>108</v>
      </c>
      <c r="H1" s="12" t="s">
        <v>109</v>
      </c>
      <c r="I1" s="12" t="s">
        <v>110</v>
      </c>
      <c r="J1" s="12" t="s">
        <v>111</v>
      </c>
      <c r="K1" s="10" t="s">
        <v>112</v>
      </c>
      <c r="L1" s="12" t="s">
        <v>113</v>
      </c>
    </row>
    <row r="2" spans="1:12">
      <c r="A2" s="2" t="s">
        <v>11</v>
      </c>
      <c r="B2" s="13">
        <v>12</v>
      </c>
      <c r="C2" s="13">
        <v>3400</v>
      </c>
      <c r="D2" s="13">
        <v>420</v>
      </c>
      <c r="E2" s="13">
        <v>8</v>
      </c>
      <c r="F2" s="13">
        <v>10</v>
      </c>
      <c r="G2" s="13">
        <v>2</v>
      </c>
      <c r="H2" s="13">
        <v>0</v>
      </c>
      <c r="I2" s="13">
        <v>3</v>
      </c>
      <c r="J2" s="13">
        <v>2</v>
      </c>
      <c r="K2" s="11">
        <v>283.3</v>
      </c>
      <c r="L2" s="13">
        <v>1</v>
      </c>
    </row>
    <row r="3" spans="1:12">
      <c r="A3" s="2" t="s">
        <v>17</v>
      </c>
      <c r="B3" s="13">
        <v>34</v>
      </c>
      <c r="C3" s="13">
        <v>12500</v>
      </c>
      <c r="D3" s="13">
        <v>1380</v>
      </c>
      <c r="E3" s="13">
        <v>20</v>
      </c>
      <c r="F3" s="13">
        <v>28</v>
      </c>
      <c r="G3" s="13">
        <v>4</v>
      </c>
      <c r="H3" s="13">
        <v>2</v>
      </c>
      <c r="I3" s="13">
        <v>1</v>
      </c>
      <c r="J3" s="13">
        <v>5</v>
      </c>
      <c r="K3" s="11">
        <v>367.6</v>
      </c>
      <c r="L3" s="13">
        <v>0</v>
      </c>
    </row>
    <row r="4" spans="1:12">
      <c r="A4" s="2" t="s">
        <v>23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90</v>
      </c>
      <c r="J4" s="13">
        <v>0</v>
      </c>
      <c r="K4" s="11">
        <v>0</v>
      </c>
      <c r="L4" s="13">
        <v>0</v>
      </c>
    </row>
    <row r="5" spans="1:12">
      <c r="A5" s="2" t="s">
        <v>27</v>
      </c>
      <c r="B5" s="13">
        <v>6</v>
      </c>
      <c r="C5" s="13">
        <v>1500</v>
      </c>
      <c r="D5" s="13">
        <v>180</v>
      </c>
      <c r="E5" s="13">
        <v>4</v>
      </c>
      <c r="F5" s="13">
        <v>5</v>
      </c>
      <c r="G5" s="13">
        <v>1</v>
      </c>
      <c r="H5" s="13">
        <v>0</v>
      </c>
      <c r="I5" s="13">
        <v>12</v>
      </c>
      <c r="J5" s="13">
        <v>1</v>
      </c>
      <c r="K5" s="11">
        <v>250</v>
      </c>
      <c r="L5" s="13">
        <v>1</v>
      </c>
    </row>
    <row r="6" spans="1:12">
      <c r="A6" s="2" t="s">
        <v>30</v>
      </c>
      <c r="B6" s="13">
        <v>55</v>
      </c>
      <c r="C6" s="13">
        <v>28000</v>
      </c>
      <c r="D6" s="13">
        <v>3200</v>
      </c>
      <c r="E6" s="13">
        <v>29</v>
      </c>
      <c r="F6" s="13">
        <v>40</v>
      </c>
      <c r="G6" s="13">
        <v>10</v>
      </c>
      <c r="H6" s="13">
        <v>5</v>
      </c>
      <c r="I6" s="13">
        <v>0</v>
      </c>
      <c r="J6" s="13">
        <v>8</v>
      </c>
      <c r="K6" s="11">
        <v>509.1</v>
      </c>
      <c r="L6" s="13">
        <v>0</v>
      </c>
    </row>
    <row r="7" spans="1:12">
      <c r="A7" s="2" t="s">
        <v>34</v>
      </c>
      <c r="B7" s="13">
        <v>18</v>
      </c>
      <c r="C7" s="13">
        <v>4200</v>
      </c>
      <c r="D7" s="13">
        <v>510</v>
      </c>
      <c r="E7" s="13">
        <v>10</v>
      </c>
      <c r="F7" s="13">
        <v>14</v>
      </c>
      <c r="G7" s="13">
        <v>4</v>
      </c>
      <c r="H7" s="13">
        <v>0</v>
      </c>
      <c r="I7" s="13">
        <v>5</v>
      </c>
      <c r="J7" s="13">
        <v>3</v>
      </c>
      <c r="K7" s="11">
        <v>233.3</v>
      </c>
      <c r="L7" s="13">
        <v>1</v>
      </c>
    </row>
    <row r="8" spans="1:12">
      <c r="A8" s="2" t="s">
        <v>35</v>
      </c>
      <c r="B8" s="13">
        <v>22</v>
      </c>
      <c r="C8" s="13">
        <v>6100</v>
      </c>
      <c r="D8" s="13">
        <v>760</v>
      </c>
      <c r="E8" s="13">
        <v>13</v>
      </c>
      <c r="F8" s="13">
        <v>18</v>
      </c>
      <c r="G8" s="13">
        <v>3</v>
      </c>
      <c r="H8" s="13">
        <v>1</v>
      </c>
      <c r="I8" s="13">
        <v>2</v>
      </c>
      <c r="J8" s="13">
        <v>4</v>
      </c>
      <c r="K8" s="11">
        <v>277.3</v>
      </c>
      <c r="L8" s="13">
        <v>1</v>
      </c>
    </row>
    <row r="9" spans="1:12">
      <c r="A9" s="2" t="s">
        <v>36</v>
      </c>
      <c r="B9" s="13">
        <v>3</v>
      </c>
      <c r="C9" s="13">
        <v>500</v>
      </c>
      <c r="D9" s="13">
        <v>55</v>
      </c>
      <c r="E9" s="13">
        <v>2</v>
      </c>
      <c r="F9" s="13">
        <v>1</v>
      </c>
      <c r="G9" s="13">
        <v>0</v>
      </c>
      <c r="H9" s="13">
        <v>2</v>
      </c>
      <c r="I9" s="13">
        <v>27</v>
      </c>
      <c r="J9" s="13">
        <v>1</v>
      </c>
      <c r="K9" s="11">
        <v>166.7</v>
      </c>
      <c r="L9" s="13">
        <v>0</v>
      </c>
    </row>
    <row r="10" spans="1:12">
      <c r="A10" s="2" t="s">
        <v>39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90</v>
      </c>
      <c r="J10" s="13">
        <v>0</v>
      </c>
      <c r="K10" s="11">
        <v>0</v>
      </c>
      <c r="L10" s="13">
        <v>0</v>
      </c>
    </row>
    <row r="11" spans="1:12">
      <c r="A11" s="2" t="s">
        <v>40</v>
      </c>
      <c r="B11" s="13">
        <v>8</v>
      </c>
      <c r="C11" s="13">
        <v>1750</v>
      </c>
      <c r="D11" s="13">
        <v>210</v>
      </c>
      <c r="E11" s="13">
        <v>5</v>
      </c>
      <c r="F11" s="13">
        <v>6</v>
      </c>
      <c r="G11" s="13">
        <v>1</v>
      </c>
      <c r="H11" s="13">
        <v>1</v>
      </c>
      <c r="I11" s="13">
        <v>15</v>
      </c>
      <c r="J11" s="13">
        <v>2</v>
      </c>
      <c r="K11" s="11">
        <v>218.8</v>
      </c>
      <c r="L11" s="13">
        <v>1</v>
      </c>
    </row>
    <row r="12" spans="1:12">
      <c r="A12" s="2" t="s">
        <v>41</v>
      </c>
      <c r="B12" s="13">
        <v>61</v>
      </c>
      <c r="C12" s="13">
        <v>35000</v>
      </c>
      <c r="D12" s="13">
        <v>4100</v>
      </c>
      <c r="E12" s="13">
        <v>33</v>
      </c>
      <c r="F12" s="13">
        <v>45</v>
      </c>
      <c r="G12" s="13">
        <v>12</v>
      </c>
      <c r="H12" s="13">
        <v>4</v>
      </c>
      <c r="I12" s="13">
        <v>0</v>
      </c>
      <c r="J12" s="13">
        <v>10</v>
      </c>
      <c r="K12" s="11">
        <v>573.79999999999995</v>
      </c>
      <c r="L12" s="13">
        <v>0</v>
      </c>
    </row>
    <row r="13" spans="1:12">
      <c r="A13" s="2" t="s">
        <v>42</v>
      </c>
      <c r="B13" s="13">
        <v>14</v>
      </c>
      <c r="C13" s="13">
        <v>2900</v>
      </c>
      <c r="D13" s="13">
        <v>330</v>
      </c>
      <c r="E13" s="13">
        <v>7</v>
      </c>
      <c r="F13" s="13">
        <v>11</v>
      </c>
      <c r="G13" s="13">
        <v>2</v>
      </c>
      <c r="H13" s="13">
        <v>1</v>
      </c>
      <c r="I13" s="13">
        <v>8</v>
      </c>
      <c r="J13" s="13">
        <v>2</v>
      </c>
      <c r="K13" s="11">
        <v>207.1</v>
      </c>
      <c r="L13" s="13">
        <v>1</v>
      </c>
    </row>
  </sheetData>
  <autoFilter ref="A1:L1" xr:uid="{B5E7EBFA-D683-43EF-8D51-B8038924B32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AC24-E26D-4AF4-836F-A0ED809CFFBE}">
  <dimension ref="A1:S34"/>
  <sheetViews>
    <sheetView workbookViewId="0">
      <selection activeCell="A16" sqref="A16:G23"/>
    </sheetView>
  </sheetViews>
  <sheetFormatPr defaultRowHeight="15"/>
  <cols>
    <col min="1" max="1" width="17" customWidth="1"/>
    <col min="2" max="2" width="15.28515625" customWidth="1"/>
    <col min="3" max="3" width="12.42578125" style="14" customWidth="1"/>
    <col min="4" max="4" width="15.85546875" style="14" customWidth="1"/>
    <col min="5" max="5" width="14.85546875" style="14" customWidth="1"/>
    <col min="6" max="6" width="21.140625" style="14" customWidth="1"/>
    <col min="7" max="7" width="13.5703125" style="14" customWidth="1"/>
    <col min="8" max="8" width="18.140625" style="14" customWidth="1"/>
    <col min="9" max="9" width="12.140625" style="14" customWidth="1"/>
    <col min="10" max="10" width="11.85546875" style="14" customWidth="1"/>
  </cols>
  <sheetData>
    <row r="1" spans="1:19" ht="41.25" customHeight="1">
      <c r="A1" s="1" t="s">
        <v>0</v>
      </c>
      <c r="B1" s="1" t="s">
        <v>114</v>
      </c>
      <c r="C1" s="12" t="s">
        <v>115</v>
      </c>
      <c r="D1" s="12" t="s">
        <v>116</v>
      </c>
      <c r="E1" s="12" t="s">
        <v>117</v>
      </c>
      <c r="F1" s="12" t="s">
        <v>118</v>
      </c>
      <c r="G1" s="12" t="s">
        <v>119</v>
      </c>
      <c r="H1" s="12" t="s">
        <v>120</v>
      </c>
      <c r="I1" s="12" t="s">
        <v>121</v>
      </c>
      <c r="J1" s="12" t="s">
        <v>122</v>
      </c>
      <c r="M1" s="60" t="s">
        <v>229</v>
      </c>
      <c r="N1" s="61"/>
      <c r="O1" s="61"/>
      <c r="P1" s="61"/>
      <c r="Q1" s="61"/>
      <c r="R1" s="61"/>
      <c r="S1" s="59"/>
    </row>
    <row r="2" spans="1:19">
      <c r="A2" s="2" t="s">
        <v>11</v>
      </c>
      <c r="B2" s="2" t="s">
        <v>123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  <c r="H2" s="13">
        <v>120</v>
      </c>
      <c r="I2" s="13">
        <v>0</v>
      </c>
      <c r="J2" s="13">
        <v>9</v>
      </c>
      <c r="M2" s="32"/>
      <c r="N2" s="32"/>
      <c r="O2" s="32"/>
      <c r="P2" s="32"/>
      <c r="Q2" s="32"/>
      <c r="R2" s="32"/>
    </row>
    <row r="3" spans="1:19">
      <c r="A3" s="2" t="s">
        <v>17</v>
      </c>
      <c r="B3" s="2" t="s">
        <v>123</v>
      </c>
      <c r="C3" s="13">
        <v>1</v>
      </c>
      <c r="D3" s="13">
        <v>1</v>
      </c>
      <c r="E3" s="13">
        <v>0</v>
      </c>
      <c r="F3" s="13">
        <v>1</v>
      </c>
      <c r="G3" s="13">
        <v>1</v>
      </c>
      <c r="H3" s="13">
        <v>210</v>
      </c>
      <c r="I3" s="13">
        <v>0</v>
      </c>
      <c r="J3" s="13">
        <v>9</v>
      </c>
      <c r="M3" s="32" t="s">
        <v>230</v>
      </c>
      <c r="N3" s="32"/>
      <c r="O3" s="32"/>
      <c r="P3" s="32"/>
      <c r="Q3" s="32"/>
      <c r="R3" s="32"/>
    </row>
    <row r="4" spans="1:19">
      <c r="A4" s="2" t="s">
        <v>23</v>
      </c>
      <c r="B4" s="2" t="s">
        <v>123</v>
      </c>
      <c r="C4" s="13">
        <v>1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9</v>
      </c>
      <c r="M4" s="32"/>
      <c r="N4" s="32"/>
      <c r="O4" s="32"/>
      <c r="P4" s="32"/>
      <c r="Q4" s="32"/>
      <c r="R4" s="32"/>
    </row>
    <row r="5" spans="1:19" ht="24">
      <c r="A5" s="2" t="s">
        <v>27</v>
      </c>
      <c r="B5" s="2" t="s">
        <v>123</v>
      </c>
      <c r="C5" s="13">
        <v>1</v>
      </c>
      <c r="D5" s="13">
        <v>1</v>
      </c>
      <c r="E5" s="13">
        <v>1</v>
      </c>
      <c r="F5" s="13">
        <v>0</v>
      </c>
      <c r="G5" s="13">
        <v>1</v>
      </c>
      <c r="H5" s="13">
        <v>55</v>
      </c>
      <c r="I5" s="13">
        <v>1</v>
      </c>
      <c r="J5" s="13">
        <v>9</v>
      </c>
      <c r="M5" s="62" t="s">
        <v>231</v>
      </c>
      <c r="N5" s="32"/>
      <c r="O5" s="32"/>
      <c r="P5" s="32"/>
      <c r="Q5" s="32"/>
      <c r="R5" s="32"/>
    </row>
    <row r="6" spans="1:19">
      <c r="A6" s="2" t="s">
        <v>30</v>
      </c>
      <c r="B6" s="2" t="s">
        <v>123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340</v>
      </c>
      <c r="I6" s="13">
        <v>0</v>
      </c>
      <c r="J6" s="13">
        <v>9</v>
      </c>
      <c r="M6" s="63"/>
      <c r="N6" s="32"/>
      <c r="O6" s="32"/>
      <c r="P6" s="32"/>
      <c r="Q6" s="32"/>
      <c r="R6" s="32"/>
    </row>
    <row r="7" spans="1:19">
      <c r="A7" s="2" t="s">
        <v>34</v>
      </c>
      <c r="B7" s="2" t="s">
        <v>124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140</v>
      </c>
      <c r="I7" s="13">
        <v>0</v>
      </c>
      <c r="J7" s="13">
        <v>17</v>
      </c>
      <c r="M7" s="63" t="s">
        <v>232</v>
      </c>
      <c r="N7" s="32"/>
      <c r="O7" s="32"/>
      <c r="P7" s="32"/>
      <c r="Q7" s="32"/>
      <c r="R7" s="32"/>
    </row>
    <row r="8" spans="1:19">
      <c r="A8" s="2" t="s">
        <v>35</v>
      </c>
      <c r="B8" s="2" t="s">
        <v>124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180</v>
      </c>
      <c r="I8" s="13">
        <v>0</v>
      </c>
      <c r="J8" s="13">
        <v>17</v>
      </c>
      <c r="M8" s="63" t="s">
        <v>233</v>
      </c>
      <c r="N8" s="32"/>
      <c r="O8" s="32"/>
      <c r="P8" s="32"/>
      <c r="Q8" s="32"/>
      <c r="R8" s="32"/>
    </row>
    <row r="9" spans="1:19">
      <c r="A9" s="2" t="s">
        <v>36</v>
      </c>
      <c r="B9" s="2" t="s">
        <v>124</v>
      </c>
      <c r="C9" s="13">
        <v>1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17</v>
      </c>
      <c r="M9" s="63" t="s">
        <v>234</v>
      </c>
      <c r="N9" s="32"/>
      <c r="O9" s="32"/>
      <c r="P9" s="32"/>
      <c r="Q9" s="32"/>
      <c r="R9" s="32"/>
    </row>
    <row r="10" spans="1:19">
      <c r="A10" s="2" t="s">
        <v>39</v>
      </c>
      <c r="B10" s="2" t="s">
        <v>124</v>
      </c>
      <c r="C10" s="13">
        <v>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1</v>
      </c>
      <c r="J10" s="13">
        <v>17</v>
      </c>
      <c r="M10" s="63" t="s">
        <v>235</v>
      </c>
      <c r="N10" s="32"/>
      <c r="O10" s="32"/>
      <c r="P10" s="32"/>
      <c r="Q10" s="32"/>
      <c r="R10" s="32"/>
    </row>
    <row r="11" spans="1:19">
      <c r="A11" s="2" t="s">
        <v>40</v>
      </c>
      <c r="B11" s="2" t="s">
        <v>124</v>
      </c>
      <c r="C11" s="13">
        <v>1</v>
      </c>
      <c r="D11" s="13">
        <v>1</v>
      </c>
      <c r="E11" s="13">
        <v>0</v>
      </c>
      <c r="F11" s="13">
        <v>0</v>
      </c>
      <c r="G11" s="13">
        <v>1</v>
      </c>
      <c r="H11" s="13">
        <v>40</v>
      </c>
      <c r="I11" s="13">
        <v>0</v>
      </c>
      <c r="J11" s="13">
        <v>17</v>
      </c>
      <c r="M11" s="32"/>
      <c r="N11" s="32"/>
      <c r="O11" s="32"/>
      <c r="P11" s="32"/>
      <c r="Q11" s="32"/>
      <c r="R11" s="32"/>
    </row>
    <row r="12" spans="1:19" ht="24">
      <c r="A12" s="2" t="s">
        <v>41</v>
      </c>
      <c r="B12" s="2" t="s">
        <v>123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390</v>
      </c>
      <c r="I12" s="13">
        <v>0</v>
      </c>
      <c r="J12" s="13">
        <v>9</v>
      </c>
      <c r="M12" s="62" t="s">
        <v>236</v>
      </c>
      <c r="N12" s="32"/>
      <c r="O12" s="32"/>
      <c r="P12" s="32"/>
      <c r="Q12" s="32"/>
      <c r="R12" s="32"/>
    </row>
    <row r="13" spans="1:19">
      <c r="A13" s="2" t="s">
        <v>42</v>
      </c>
      <c r="B13" s="2" t="s">
        <v>124</v>
      </c>
      <c r="C13" s="13">
        <v>1</v>
      </c>
      <c r="D13" s="13">
        <v>1</v>
      </c>
      <c r="E13" s="13">
        <v>1</v>
      </c>
      <c r="F13" s="13">
        <v>0</v>
      </c>
      <c r="G13" s="13">
        <v>1</v>
      </c>
      <c r="H13" s="13">
        <v>65</v>
      </c>
      <c r="I13" s="13">
        <v>0</v>
      </c>
      <c r="J13" s="13">
        <v>17</v>
      </c>
      <c r="M13" s="63"/>
      <c r="N13" s="32"/>
      <c r="O13" s="32"/>
      <c r="P13" s="32"/>
      <c r="Q13" s="32"/>
      <c r="R13" s="32"/>
    </row>
    <row r="14" spans="1:19">
      <c r="M14" s="63" t="s">
        <v>237</v>
      </c>
      <c r="N14" s="32"/>
      <c r="O14" s="32"/>
      <c r="P14" s="32"/>
      <c r="Q14" s="32"/>
      <c r="R14" s="32"/>
    </row>
    <row r="15" spans="1:19">
      <c r="M15" s="63" t="s">
        <v>238</v>
      </c>
      <c r="N15" s="32"/>
      <c r="O15" s="32"/>
      <c r="P15" s="32"/>
      <c r="Q15" s="32"/>
      <c r="R15" s="32"/>
    </row>
    <row r="16" spans="1:19" ht="30">
      <c r="A16" s="52" t="s">
        <v>218</v>
      </c>
      <c r="B16" s="52" t="s">
        <v>219</v>
      </c>
      <c r="C16" s="53" t="s">
        <v>220</v>
      </c>
      <c r="D16" s="53" t="s">
        <v>221</v>
      </c>
      <c r="E16" s="53" t="s">
        <v>222</v>
      </c>
      <c r="F16" s="53" t="s">
        <v>223</v>
      </c>
      <c r="G16" s="52" t="s">
        <v>224</v>
      </c>
      <c r="H16"/>
      <c r="I16"/>
      <c r="J16"/>
      <c r="M16" s="63" t="s">
        <v>239</v>
      </c>
      <c r="N16" s="32"/>
      <c r="O16" s="32"/>
      <c r="P16" s="32"/>
      <c r="Q16" s="32"/>
      <c r="R16" s="32"/>
    </row>
    <row r="17" spans="1:18">
      <c r="A17" s="54" t="s">
        <v>123</v>
      </c>
      <c r="B17" s="55">
        <f>AVERAGEIF(Campaign_AB!B$2:B$13,"A",Campaign_AB!D$2:D$13)</f>
        <v>0.83333333333333337</v>
      </c>
      <c r="C17" s="55">
        <f>AVERAGEIF(Campaign_AB!B$2:B$13,"A",Campaign_AB!E$2:E$13)</f>
        <v>0.66666666666666663</v>
      </c>
      <c r="D17" s="56">
        <f>AVERAGEIF(Campaign_AB!B$2:B$13,"A",Campaign_AB!F$2:F$13)</f>
        <v>0.66666666666666663</v>
      </c>
      <c r="E17" s="55">
        <f>AVERAGEIF(Campaign_AB!B$2:B$13,"A",Campaign_AB!G$2:G$13)</f>
        <v>0.83333333333333337</v>
      </c>
      <c r="F17" s="57">
        <f>AVERAGEIF(Campaign_AB!B$2:B$13,"A",Campaign_AB!H$2:H$13)</f>
        <v>185.83333333333334</v>
      </c>
      <c r="G17" s="55">
        <f>AVERAGEIF(Campaign_AB!B$2:B$13,"A",Campaign_AB!I$2:I$13)</f>
        <v>0.16666666666666666</v>
      </c>
      <c r="H17" s="2"/>
      <c r="I17" s="2"/>
      <c r="J17" s="2"/>
      <c r="K17" s="2"/>
      <c r="L17" s="2"/>
      <c r="M17" s="63" t="s">
        <v>240</v>
      </c>
      <c r="N17" s="32"/>
      <c r="O17" s="32"/>
      <c r="P17" s="32"/>
      <c r="Q17" s="32"/>
      <c r="R17" s="32"/>
    </row>
    <row r="18" spans="1:18">
      <c r="A18" s="54" t="s">
        <v>124</v>
      </c>
      <c r="B18" s="55">
        <f>AVERAGEIF(Campaign_AB!B$2:B$13,"B",Campaign_AB!D$2:D$13)</f>
        <v>0.66666666666666663</v>
      </c>
      <c r="C18" s="55">
        <f>AVERAGEIF(Campaign_AB!B$2:B$13,"B",Campaign_AB!E$2:E$13)</f>
        <v>0.5</v>
      </c>
      <c r="D18" s="56">
        <f>AVERAGEIF(Campaign_AB!B$2:B$13,"B",Campaign_AB!F$2:F$13)</f>
        <v>0.33333333333333331</v>
      </c>
      <c r="E18" s="55">
        <f>AVERAGEIF(Campaign_AB!B$2:B$13,"B",Campaign_AB!G$2:G$13)</f>
        <v>0.66666666666666663</v>
      </c>
      <c r="F18" s="58">
        <f>AVERAGEIF(Campaign_AB!B$2:B$13,"B",Campaign_AB!H$2:H$13)</f>
        <v>70.833333333333329</v>
      </c>
      <c r="G18" s="55">
        <f>AVERAGEIF(Campaign_AB!B$2:B$13,"B",Campaign_AB!I$2:I$13)</f>
        <v>0.16666666666666666</v>
      </c>
      <c r="H18" s="2"/>
      <c r="I18" s="2"/>
      <c r="J18" s="2"/>
      <c r="K18" s="2"/>
      <c r="L18" s="2"/>
      <c r="M18" s="2"/>
    </row>
    <row r="19" spans="1:18">
      <c r="C19"/>
    </row>
    <row r="20" spans="1:18">
      <c r="A20" t="s">
        <v>225</v>
      </c>
      <c r="C20"/>
    </row>
    <row r="21" spans="1:18">
      <c r="A21" t="s">
        <v>226</v>
      </c>
      <c r="C21"/>
    </row>
    <row r="22" spans="1:18">
      <c r="A22" t="s">
        <v>227</v>
      </c>
      <c r="C22"/>
    </row>
    <row r="23" spans="1:18">
      <c r="A23" t="s">
        <v>228</v>
      </c>
      <c r="C23"/>
    </row>
    <row r="24" spans="1:18">
      <c r="C24"/>
    </row>
    <row r="25" spans="1:18">
      <c r="C25"/>
    </row>
    <row r="26" spans="1:18">
      <c r="C26"/>
    </row>
    <row r="27" spans="1:18">
      <c r="C27"/>
    </row>
    <row r="28" spans="1:18">
      <c r="C28"/>
    </row>
    <row r="29" spans="1:18">
      <c r="C29"/>
    </row>
    <row r="30" spans="1:18">
      <c r="C30"/>
    </row>
    <row r="31" spans="1:18">
      <c r="C31"/>
    </row>
    <row r="32" spans="1:18">
      <c r="C32"/>
    </row>
    <row r="33" spans="3:3">
      <c r="C33"/>
    </row>
    <row r="34" spans="3:3">
      <c r="C34"/>
    </row>
  </sheetData>
  <autoFilter ref="A1:J1" xr:uid="{9B7DAC24-E26D-4AF4-836F-A0ED809CFFBE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B2C0-3DFB-485E-A2EF-EA876F0C0F55}">
  <dimension ref="A1:G66"/>
  <sheetViews>
    <sheetView topLeftCell="A21" workbookViewId="0">
      <selection activeCell="N53" sqref="N53"/>
    </sheetView>
  </sheetViews>
  <sheetFormatPr defaultRowHeight="15"/>
  <cols>
    <col min="1" max="1" width="10.85546875" customWidth="1"/>
  </cols>
  <sheetData>
    <row r="1" spans="1:1" ht="24">
      <c r="A1" s="64" t="s">
        <v>171</v>
      </c>
    </row>
    <row r="3" spans="1:1">
      <c r="A3" t="s">
        <v>175</v>
      </c>
    </row>
    <row r="5" spans="1:1">
      <c r="A5" t="s">
        <v>176</v>
      </c>
    </row>
    <row r="6" spans="1:1">
      <c r="A6" t="s">
        <v>172</v>
      </c>
    </row>
    <row r="7" spans="1:1">
      <c r="A7" t="s">
        <v>173</v>
      </c>
    </row>
    <row r="8" spans="1:1">
      <c r="A8" t="s">
        <v>174</v>
      </c>
    </row>
    <row r="10" spans="1:1">
      <c r="A10" s="24" t="s">
        <v>177</v>
      </c>
    </row>
    <row r="11" spans="1:1">
      <c r="A11" s="23"/>
    </row>
    <row r="12" spans="1:1">
      <c r="A12" s="23" t="s">
        <v>178</v>
      </c>
    </row>
    <row r="13" spans="1:1">
      <c r="A13" s="23" t="s">
        <v>179</v>
      </c>
    </row>
    <row r="14" spans="1:1">
      <c r="A14" s="23" t="s">
        <v>180</v>
      </c>
    </row>
    <row r="16" spans="1:1">
      <c r="A16" t="s">
        <v>181</v>
      </c>
    </row>
    <row r="18" spans="1:7" ht="15.75">
      <c r="A18" s="25" t="s">
        <v>182</v>
      </c>
      <c r="B18" s="26"/>
      <c r="C18" s="26"/>
      <c r="D18" s="26"/>
      <c r="E18" s="26"/>
      <c r="F18" s="26"/>
      <c r="G18" s="26"/>
    </row>
    <row r="19" spans="1:7">
      <c r="A19" t="s">
        <v>184</v>
      </c>
    </row>
    <row r="21" spans="1:7">
      <c r="A21" t="s">
        <v>183</v>
      </c>
    </row>
    <row r="23" spans="1:7" ht="15.75">
      <c r="A23" s="25" t="s">
        <v>185</v>
      </c>
      <c r="B23" s="26"/>
      <c r="C23" s="26"/>
      <c r="D23" s="26"/>
      <c r="E23" s="26"/>
      <c r="F23" s="26"/>
    </row>
    <row r="25" spans="1:7">
      <c r="A25" t="s">
        <v>186</v>
      </c>
    </row>
    <row r="27" spans="1:7">
      <c r="A27" t="s">
        <v>187</v>
      </c>
    </row>
    <row r="29" spans="1:7" ht="24">
      <c r="A29" s="64"/>
    </row>
    <row r="63" spans="1:1" ht="24">
      <c r="A63" s="64" t="s">
        <v>258</v>
      </c>
    </row>
    <row r="65" spans="1:1">
      <c r="A65" t="s">
        <v>256</v>
      </c>
    </row>
    <row r="66" spans="1:1">
      <c r="A66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0614-BB5A-41B9-9588-1D2957408D0A}">
  <dimension ref="A1:M36"/>
  <sheetViews>
    <sheetView topLeftCell="B11" workbookViewId="0">
      <selection activeCell="F32" sqref="F32:M35"/>
    </sheetView>
  </sheetViews>
  <sheetFormatPr defaultRowHeight="15"/>
  <cols>
    <col min="1" max="1" width="20.85546875" customWidth="1"/>
    <col min="2" max="2" width="18.85546875" customWidth="1"/>
    <col min="3" max="3" width="23.85546875" customWidth="1"/>
    <col min="4" max="4" width="26.140625" customWidth="1"/>
    <col min="5" max="5" width="27.28515625" customWidth="1"/>
    <col min="6" max="6" width="23.42578125" customWidth="1"/>
    <col min="7" max="7" width="21.5703125" customWidth="1"/>
    <col min="8" max="8" width="15.85546875" customWidth="1"/>
    <col min="9" max="9" width="19.5703125" customWidth="1"/>
  </cols>
  <sheetData>
    <row r="1" spans="1:13" ht="28.5">
      <c r="A1" s="22" t="s">
        <v>163</v>
      </c>
    </row>
    <row r="2" spans="1:13" ht="15.75" thickBot="1"/>
    <row r="3" spans="1:13" ht="80.25" customHeight="1">
      <c r="A3" s="34" t="s">
        <v>164</v>
      </c>
      <c r="B3" s="35" t="s">
        <v>165</v>
      </c>
      <c r="C3" s="35" t="s">
        <v>169</v>
      </c>
      <c r="D3" s="35" t="s">
        <v>170</v>
      </c>
      <c r="E3" s="35" t="s">
        <v>167</v>
      </c>
      <c r="F3" s="35" t="s">
        <v>168</v>
      </c>
      <c r="G3" s="36" t="s">
        <v>166</v>
      </c>
      <c r="H3" s="2"/>
      <c r="I3" s="2"/>
    </row>
    <row r="4" spans="1:13" ht="61.5" customHeight="1" thickBot="1">
      <c r="A4" s="37">
        <f>COUNTA(Customers!A2:A13)</f>
        <v>12</v>
      </c>
      <c r="B4" s="38">
        <f>COUNTIF(Customers!G2:G13,"1")/COUNTA(Customers!A2:A13)</f>
        <v>0.83333333333333337</v>
      </c>
      <c r="C4" s="39">
        <f>AVERAGE(Customers!H2:H13)</f>
        <v>770.83333333333337</v>
      </c>
      <c r="D4" s="39">
        <f>MEDIAN(Customers!H2:H13)</f>
        <v>550</v>
      </c>
      <c r="E4" s="39">
        <f>AVERAGE(Activity_90d!D2:D13)</f>
        <v>928.75</v>
      </c>
      <c r="F4" s="39">
        <f>MEDIAN(Activity_90d!D2:D13)</f>
        <v>375</v>
      </c>
      <c r="G4" s="40">
        <f>COUNTIF(Activity_90d!I2:I13,"&lt;=30")/COUNTA(Customers!A2:A13)</f>
        <v>0.83333333333333337</v>
      </c>
    </row>
    <row r="5" spans="1:13" ht="18.75">
      <c r="A5" s="20"/>
      <c r="B5" s="20"/>
      <c r="C5" s="20"/>
      <c r="D5" s="20"/>
      <c r="E5" s="20"/>
      <c r="F5" s="20"/>
      <c r="G5" s="20"/>
    </row>
    <row r="7" spans="1:13">
      <c r="A7" t="s">
        <v>188</v>
      </c>
    </row>
    <row r="8" spans="1:13">
      <c r="A8" t="s">
        <v>189</v>
      </c>
    </row>
    <row r="9" spans="1:13" ht="44.25" customHeight="1">
      <c r="A9" t="s">
        <v>190</v>
      </c>
    </row>
    <row r="10" spans="1:13" ht="21">
      <c r="A10" s="72" t="s">
        <v>197</v>
      </c>
      <c r="B10" s="72"/>
      <c r="C10" s="72"/>
      <c r="D10" s="72"/>
      <c r="E10" s="72"/>
      <c r="F10" s="43" t="s">
        <v>198</v>
      </c>
      <c r="G10" s="43"/>
      <c r="H10" s="43"/>
      <c r="I10" s="43"/>
      <c r="J10" s="44"/>
      <c r="K10" s="44"/>
      <c r="L10" s="44"/>
      <c r="M10" s="44"/>
    </row>
    <row r="11" spans="1:13" ht="26.25" customHeight="1">
      <c r="A11" s="42"/>
      <c r="B11" s="42"/>
      <c r="C11" s="42"/>
      <c r="D11" s="42"/>
      <c r="E11" s="42"/>
      <c r="F11" s="43"/>
      <c r="G11" s="43"/>
      <c r="H11" s="43"/>
      <c r="I11" s="43"/>
      <c r="J11" s="44"/>
      <c r="K11" s="44"/>
      <c r="L11" s="44"/>
      <c r="M11" s="44"/>
    </row>
    <row r="12" spans="1:13" ht="30">
      <c r="A12" s="47" t="s">
        <v>191</v>
      </c>
      <c r="B12" s="45" t="s">
        <v>193</v>
      </c>
    </row>
    <row r="13" spans="1:13">
      <c r="A13" s="28" t="s">
        <v>12</v>
      </c>
      <c r="B13">
        <v>5</v>
      </c>
    </row>
    <row r="14" spans="1:13">
      <c r="A14" s="28" t="s">
        <v>18</v>
      </c>
      <c r="B14">
        <v>3</v>
      </c>
    </row>
    <row r="15" spans="1:13" ht="30">
      <c r="A15" s="28" t="s">
        <v>28</v>
      </c>
      <c r="B15">
        <v>2</v>
      </c>
      <c r="F15" s="46" t="s">
        <v>191</v>
      </c>
      <c r="G15" s="45" t="s">
        <v>196</v>
      </c>
    </row>
    <row r="16" spans="1:13">
      <c r="A16" s="28" t="s">
        <v>24</v>
      </c>
      <c r="B16">
        <v>2</v>
      </c>
      <c r="F16" s="28" t="s">
        <v>18</v>
      </c>
      <c r="G16" s="14">
        <v>5535</v>
      </c>
    </row>
    <row r="17" spans="1:7">
      <c r="A17" s="28" t="s">
        <v>192</v>
      </c>
      <c r="B17">
        <v>12</v>
      </c>
      <c r="F17" s="28" t="s">
        <v>12</v>
      </c>
      <c r="G17" s="14">
        <v>5220</v>
      </c>
    </row>
    <row r="18" spans="1:7">
      <c r="F18" s="28" t="s">
        <v>28</v>
      </c>
      <c r="G18" s="14">
        <v>390</v>
      </c>
    </row>
    <row r="19" spans="1:7">
      <c r="F19" s="28" t="s">
        <v>192</v>
      </c>
      <c r="G19" s="14">
        <v>11145</v>
      </c>
    </row>
    <row r="30" spans="1:7">
      <c r="F30" t="s">
        <v>194</v>
      </c>
    </row>
    <row r="31" spans="1:7">
      <c r="A31" t="s">
        <v>199</v>
      </c>
    </row>
    <row r="32" spans="1:7">
      <c r="A32" t="s">
        <v>200</v>
      </c>
      <c r="F32" t="s">
        <v>203</v>
      </c>
    </row>
    <row r="33" spans="6:6">
      <c r="F33" t="s">
        <v>201</v>
      </c>
    </row>
    <row r="35" spans="6:6">
      <c r="F35" t="s">
        <v>202</v>
      </c>
    </row>
    <row r="36" spans="6:6">
      <c r="F36" s="41"/>
    </row>
  </sheetData>
  <mergeCells count="1">
    <mergeCell ref="A10:E10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659B-7984-421B-9F11-03BA4A40D6EE}">
  <dimension ref="A1:K19"/>
  <sheetViews>
    <sheetView workbookViewId="0">
      <selection activeCell="K2" sqref="K2:K3"/>
    </sheetView>
  </sheetViews>
  <sheetFormatPr defaultRowHeight="15"/>
  <cols>
    <col min="1" max="1" width="12.28515625" customWidth="1"/>
    <col min="2" max="2" width="15.7109375" bestFit="1" customWidth="1"/>
    <col min="3" max="3" width="21.42578125" customWidth="1"/>
    <col min="4" max="4" width="20.7109375" customWidth="1"/>
    <col min="5" max="5" width="12.85546875" customWidth="1"/>
    <col min="7" max="7" width="13.5703125" bestFit="1" customWidth="1"/>
    <col min="8" max="8" width="21.42578125" bestFit="1" customWidth="1"/>
    <col min="9" max="9" width="25.28515625" bestFit="1" customWidth="1"/>
    <col min="10" max="10" width="21.42578125" bestFit="1" customWidth="1"/>
    <col min="11" max="11" width="30.140625" bestFit="1" customWidth="1"/>
  </cols>
  <sheetData>
    <row r="1" spans="1:11" ht="36.75" customHeight="1">
      <c r="A1" s="1" t="s">
        <v>0</v>
      </c>
      <c r="B1" s="48" t="s">
        <v>103</v>
      </c>
      <c r="C1" s="48" t="s">
        <v>105</v>
      </c>
      <c r="D1" s="48" t="s">
        <v>110</v>
      </c>
      <c r="E1" s="48" t="s">
        <v>204</v>
      </c>
      <c r="G1" s="48"/>
      <c r="H1" s="48"/>
      <c r="I1" s="48"/>
      <c r="J1" s="49"/>
      <c r="K1" s="48"/>
    </row>
    <row r="2" spans="1:11">
      <c r="A2" s="2" t="s">
        <v>11</v>
      </c>
      <c r="B2" s="13">
        <v>12</v>
      </c>
      <c r="C2" s="13">
        <v>420</v>
      </c>
      <c r="D2" s="13">
        <v>3</v>
      </c>
      <c r="E2" t="str">
        <f>IF(B2=0,"Inactive",IF(OR(B2&gt;=20,C2&gt;=1000),"High value","Regular"))</f>
        <v>Regular</v>
      </c>
      <c r="G2" s="46" t="s">
        <v>204</v>
      </c>
      <c r="H2" t="s">
        <v>208</v>
      </c>
      <c r="J2" s="14"/>
      <c r="K2" s="21" t="s">
        <v>216</v>
      </c>
    </row>
    <row r="3" spans="1:11">
      <c r="A3" s="2" t="s">
        <v>17</v>
      </c>
      <c r="B3" s="13">
        <v>34</v>
      </c>
      <c r="C3" s="13">
        <v>1380</v>
      </c>
      <c r="D3" s="13">
        <v>1</v>
      </c>
      <c r="E3" t="str">
        <f t="shared" ref="E3:E13" si="0">IF(B3=0,"Inactive",IF(OR(B3&gt;=20,C3&gt;=1000),"High value","Regular"))</f>
        <v>High value</v>
      </c>
      <c r="G3" s="28" t="s">
        <v>207</v>
      </c>
      <c r="H3" s="50">
        <v>2360</v>
      </c>
      <c r="K3" s="51">
        <f>MEDIAN(C2:C13)</f>
        <v>375</v>
      </c>
    </row>
    <row r="4" spans="1:11">
      <c r="A4" s="2" t="s">
        <v>23</v>
      </c>
      <c r="B4" s="13">
        <v>0</v>
      </c>
      <c r="C4" s="13">
        <v>0</v>
      </c>
      <c r="D4" s="13">
        <v>90</v>
      </c>
      <c r="E4" t="str">
        <f t="shared" si="0"/>
        <v>Inactive</v>
      </c>
      <c r="G4" s="28" t="s">
        <v>22</v>
      </c>
      <c r="H4" s="50">
        <v>284.16666666666669</v>
      </c>
      <c r="K4" t="s">
        <v>217</v>
      </c>
    </row>
    <row r="5" spans="1:11">
      <c r="A5" s="2" t="s">
        <v>27</v>
      </c>
      <c r="B5" s="13">
        <v>6</v>
      </c>
      <c r="C5" s="13">
        <v>180</v>
      </c>
      <c r="D5" s="13">
        <v>12</v>
      </c>
      <c r="E5" t="str">
        <f t="shared" si="0"/>
        <v>Regular</v>
      </c>
      <c r="G5" s="28" t="s">
        <v>205</v>
      </c>
      <c r="H5" s="50">
        <v>0</v>
      </c>
    </row>
    <row r="6" spans="1:11">
      <c r="A6" s="2" t="s">
        <v>30</v>
      </c>
      <c r="B6" s="13">
        <v>55</v>
      </c>
      <c r="C6" s="13">
        <v>3200</v>
      </c>
      <c r="D6" s="13">
        <v>0</v>
      </c>
      <c r="E6" t="str">
        <f t="shared" si="0"/>
        <v>High value</v>
      </c>
      <c r="G6" s="28" t="s">
        <v>192</v>
      </c>
      <c r="H6" s="14">
        <v>928.75</v>
      </c>
    </row>
    <row r="7" spans="1:11">
      <c r="A7" s="2" t="s">
        <v>34</v>
      </c>
      <c r="B7" s="13">
        <v>18</v>
      </c>
      <c r="C7" s="13">
        <v>510</v>
      </c>
      <c r="D7" s="13">
        <v>5</v>
      </c>
      <c r="E7" t="str">
        <f t="shared" si="0"/>
        <v>Regular</v>
      </c>
    </row>
    <row r="8" spans="1:11">
      <c r="A8" s="2" t="s">
        <v>35</v>
      </c>
      <c r="B8" s="13">
        <v>22</v>
      </c>
      <c r="C8" s="13">
        <v>760</v>
      </c>
      <c r="D8" s="13">
        <v>2</v>
      </c>
      <c r="E8" t="str">
        <f t="shared" si="0"/>
        <v>High value</v>
      </c>
      <c r="G8" t="s">
        <v>209</v>
      </c>
    </row>
    <row r="9" spans="1:11">
      <c r="A9" s="2" t="s">
        <v>36</v>
      </c>
      <c r="B9" s="13">
        <v>3</v>
      </c>
      <c r="C9" s="13">
        <v>55</v>
      </c>
      <c r="D9" s="13">
        <v>27</v>
      </c>
      <c r="E9" t="str">
        <f t="shared" si="0"/>
        <v>Regular</v>
      </c>
      <c r="G9" t="s">
        <v>210</v>
      </c>
    </row>
    <row r="10" spans="1:11">
      <c r="A10" s="2" t="s">
        <v>39</v>
      </c>
      <c r="B10" s="13">
        <v>0</v>
      </c>
      <c r="C10" s="13">
        <v>0</v>
      </c>
      <c r="D10" s="13">
        <v>90</v>
      </c>
      <c r="E10" t="str">
        <f t="shared" si="0"/>
        <v>Inactive</v>
      </c>
      <c r="G10" t="s">
        <v>211</v>
      </c>
    </row>
    <row r="11" spans="1:11">
      <c r="A11" s="2" t="s">
        <v>40</v>
      </c>
      <c r="B11" s="13">
        <v>8</v>
      </c>
      <c r="C11" s="13">
        <v>210</v>
      </c>
      <c r="D11" s="13">
        <v>15</v>
      </c>
      <c r="E11" t="str">
        <f t="shared" si="0"/>
        <v>Regular</v>
      </c>
    </row>
    <row r="12" spans="1:11">
      <c r="A12" s="2" t="s">
        <v>41</v>
      </c>
      <c r="B12" s="13">
        <v>61</v>
      </c>
      <c r="C12" s="13">
        <v>4100</v>
      </c>
      <c r="D12" s="13">
        <v>0</v>
      </c>
      <c r="E12" t="str">
        <f t="shared" si="0"/>
        <v>High value</v>
      </c>
    </row>
    <row r="13" spans="1:11">
      <c r="A13" s="2" t="s">
        <v>42</v>
      </c>
      <c r="B13" s="13">
        <v>14</v>
      </c>
      <c r="C13" s="13">
        <v>330</v>
      </c>
      <c r="D13" s="13">
        <v>8</v>
      </c>
      <c r="E13" t="str">
        <f t="shared" si="0"/>
        <v>Regular</v>
      </c>
      <c r="G13" t="s">
        <v>212</v>
      </c>
    </row>
    <row r="14" spans="1:11">
      <c r="G14" t="s">
        <v>213</v>
      </c>
    </row>
    <row r="15" spans="1:11">
      <c r="A15" s="27" t="s">
        <v>204</v>
      </c>
      <c r="B15" t="s">
        <v>206</v>
      </c>
      <c r="G15" t="s">
        <v>214</v>
      </c>
    </row>
    <row r="16" spans="1:11">
      <c r="A16" s="28" t="s">
        <v>22</v>
      </c>
      <c r="B16">
        <v>6</v>
      </c>
      <c r="G16" t="s">
        <v>215</v>
      </c>
    </row>
    <row r="17" spans="1:2">
      <c r="A17" s="28" t="s">
        <v>207</v>
      </c>
      <c r="B17">
        <v>4</v>
      </c>
    </row>
    <row r="18" spans="1:2">
      <c r="A18" s="28" t="s">
        <v>205</v>
      </c>
      <c r="B18">
        <v>2</v>
      </c>
    </row>
    <row r="19" spans="1:2">
      <c r="A19" s="28" t="s">
        <v>192</v>
      </c>
      <c r="B19">
        <v>12</v>
      </c>
    </row>
  </sheetData>
  <autoFilter ref="A1:E1" xr:uid="{237F659B-7984-421B-9F11-03BA4A40D6EE}"/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B0B1-086B-46B9-B0BF-69FEF934FA40}">
  <dimension ref="A2:D27"/>
  <sheetViews>
    <sheetView topLeftCell="A4" workbookViewId="0">
      <selection activeCell="A25" sqref="A25:L27"/>
    </sheetView>
  </sheetViews>
  <sheetFormatPr defaultRowHeight="15"/>
  <cols>
    <col min="1" max="1" width="20.5703125" customWidth="1"/>
    <col min="2" max="2" width="16.140625" customWidth="1"/>
  </cols>
  <sheetData>
    <row r="2" spans="1:4">
      <c r="A2" s="19" t="s">
        <v>241</v>
      </c>
      <c r="B2" s="19"/>
    </row>
    <row r="4" spans="1:4">
      <c r="A4" t="s">
        <v>94</v>
      </c>
    </row>
    <row r="5" spans="1:4" ht="70.5" customHeight="1">
      <c r="A5" s="29" t="s">
        <v>242</v>
      </c>
    </row>
    <row r="6" spans="1:4" ht="30">
      <c r="A6" s="12" t="s">
        <v>106</v>
      </c>
      <c r="B6" s="12" t="s">
        <v>105</v>
      </c>
      <c r="D6" s="49" t="s">
        <v>243</v>
      </c>
    </row>
    <row r="7" spans="1:4">
      <c r="A7" s="13">
        <v>8</v>
      </c>
      <c r="B7" s="13">
        <v>420</v>
      </c>
      <c r="D7">
        <f>CORREL(A5:A18,B5:B18)</f>
        <v>0.96576382659761739</v>
      </c>
    </row>
    <row r="8" spans="1:4">
      <c r="A8" s="13">
        <v>20</v>
      </c>
      <c r="B8" s="13">
        <v>1380</v>
      </c>
    </row>
    <row r="9" spans="1:4">
      <c r="A9" s="13">
        <v>0</v>
      </c>
      <c r="B9" s="13">
        <v>0</v>
      </c>
    </row>
    <row r="10" spans="1:4">
      <c r="A10" s="13">
        <v>4</v>
      </c>
      <c r="B10" s="13">
        <v>180</v>
      </c>
    </row>
    <row r="11" spans="1:4">
      <c r="A11" s="13">
        <v>29</v>
      </c>
      <c r="B11" s="13">
        <v>3200</v>
      </c>
    </row>
    <row r="12" spans="1:4">
      <c r="A12" s="13">
        <v>10</v>
      </c>
      <c r="B12" s="13">
        <v>510</v>
      </c>
    </row>
    <row r="13" spans="1:4">
      <c r="A13" s="13">
        <v>13</v>
      </c>
      <c r="B13" s="13">
        <v>760</v>
      </c>
    </row>
    <row r="14" spans="1:4">
      <c r="A14" s="13">
        <v>2</v>
      </c>
      <c r="B14" s="13">
        <v>55</v>
      </c>
    </row>
    <row r="15" spans="1:4">
      <c r="A15" s="13">
        <v>0</v>
      </c>
      <c r="B15" s="13">
        <v>0</v>
      </c>
    </row>
    <row r="16" spans="1:4">
      <c r="A16" s="13">
        <v>5</v>
      </c>
      <c r="B16" s="13">
        <v>210</v>
      </c>
    </row>
    <row r="17" spans="1:2">
      <c r="A17" s="13">
        <v>33</v>
      </c>
      <c r="B17" s="13">
        <v>4100</v>
      </c>
    </row>
    <row r="18" spans="1:2">
      <c r="A18" s="13">
        <v>7</v>
      </c>
      <c r="B18" s="13">
        <v>330</v>
      </c>
    </row>
    <row r="20" spans="1:2">
      <c r="A20" t="s">
        <v>244</v>
      </c>
    </row>
    <row r="22" spans="1:2">
      <c r="A22" t="s">
        <v>245</v>
      </c>
    </row>
    <row r="23" spans="1:2">
      <c r="A23" t="s">
        <v>246</v>
      </c>
    </row>
    <row r="25" spans="1:2">
      <c r="A25" t="s">
        <v>247</v>
      </c>
    </row>
    <row r="26" spans="1:2">
      <c r="A26" t="s">
        <v>248</v>
      </c>
    </row>
    <row r="27" spans="1:2">
      <c r="A27" t="s">
        <v>249</v>
      </c>
    </row>
  </sheetData>
  <autoFilter ref="A6:B6" xr:uid="{F398B0B1-086B-46B9-B0BF-69FEF934FA40}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964-169C-43D5-A482-E1617761F1E7}">
  <dimension ref="A1:D32"/>
  <sheetViews>
    <sheetView topLeftCell="A3" workbookViewId="0">
      <selection activeCell="A31" sqref="A31:T32"/>
    </sheetView>
  </sheetViews>
  <sheetFormatPr defaultRowHeight="15"/>
  <cols>
    <col min="1" max="1" width="18.85546875" customWidth="1"/>
    <col min="2" max="2" width="21" customWidth="1"/>
  </cols>
  <sheetData>
    <row r="1" spans="1:4" ht="27.75" customHeight="1">
      <c r="A1" s="48" t="s">
        <v>103</v>
      </c>
      <c r="B1" s="48" t="s">
        <v>105</v>
      </c>
      <c r="D1" s="49" t="s">
        <v>243</v>
      </c>
    </row>
    <row r="2" spans="1:4">
      <c r="A2" s="13">
        <v>12</v>
      </c>
      <c r="B2" s="13">
        <v>420</v>
      </c>
      <c r="D2">
        <f>CORREL(A2:A13,B2:B13)</f>
        <v>0.97400006637656023</v>
      </c>
    </row>
    <row r="3" spans="1:4">
      <c r="A3" s="13">
        <v>34</v>
      </c>
      <c r="B3" s="13">
        <v>1380</v>
      </c>
    </row>
    <row r="4" spans="1:4">
      <c r="A4" s="13">
        <v>0</v>
      </c>
      <c r="B4" s="13">
        <v>0</v>
      </c>
    </row>
    <row r="5" spans="1:4">
      <c r="A5" s="13">
        <v>6</v>
      </c>
      <c r="B5" s="13">
        <v>180</v>
      </c>
    </row>
    <row r="6" spans="1:4">
      <c r="A6" s="13">
        <v>55</v>
      </c>
      <c r="B6" s="13">
        <v>3200</v>
      </c>
    </row>
    <row r="7" spans="1:4">
      <c r="A7" s="13">
        <v>18</v>
      </c>
      <c r="B7" s="13">
        <v>510</v>
      </c>
    </row>
    <row r="8" spans="1:4">
      <c r="A8" s="13">
        <v>22</v>
      </c>
      <c r="B8" s="13">
        <v>760</v>
      </c>
    </row>
    <row r="9" spans="1:4">
      <c r="A9" s="13">
        <v>3</v>
      </c>
      <c r="B9" s="13">
        <v>55</v>
      </c>
    </row>
    <row r="10" spans="1:4">
      <c r="A10" s="13">
        <v>0</v>
      </c>
      <c r="B10" s="13">
        <v>0</v>
      </c>
    </row>
    <row r="11" spans="1:4">
      <c r="A11" s="13">
        <v>8</v>
      </c>
      <c r="B11" s="13">
        <v>210</v>
      </c>
    </row>
    <row r="12" spans="1:4">
      <c r="A12" s="13">
        <v>61</v>
      </c>
      <c r="B12" s="13">
        <v>4100</v>
      </c>
    </row>
    <row r="13" spans="1:4">
      <c r="A13" s="13">
        <v>14</v>
      </c>
      <c r="B13" s="13">
        <v>330</v>
      </c>
    </row>
    <row r="19" spans="1:1">
      <c r="A19" t="s">
        <v>250</v>
      </c>
    </row>
    <row r="20" spans="1:1">
      <c r="A20" t="s">
        <v>251</v>
      </c>
    </row>
    <row r="23" spans="1:1" ht="24">
      <c r="A23" s="5" t="s">
        <v>252</v>
      </c>
    </row>
    <row r="25" spans="1:1">
      <c r="A25" t="s">
        <v>253</v>
      </c>
    </row>
    <row r="26" spans="1:1">
      <c r="A26" s="23"/>
    </row>
    <row r="27" spans="1:1">
      <c r="A27" s="23" t="s">
        <v>254</v>
      </c>
    </row>
    <row r="28" spans="1:1">
      <c r="A28" s="23" t="s">
        <v>255</v>
      </c>
    </row>
    <row r="31" spans="1:1">
      <c r="A31" t="s">
        <v>256</v>
      </c>
    </row>
    <row r="32" spans="1:1">
      <c r="A32" t="s">
        <v>257</v>
      </c>
    </row>
  </sheetData>
  <autoFilter ref="A1:B1" xr:uid="{E8740964-169C-43D5-A482-E1617761F1E7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Management summary</vt:lpstr>
      <vt:lpstr>Zadání</vt:lpstr>
      <vt:lpstr>legenda</vt:lpstr>
      <vt:lpstr>Customers</vt:lpstr>
      <vt:lpstr>Activity_90d</vt:lpstr>
      <vt:lpstr>Campaign_AB</vt:lpstr>
      <vt:lpstr>č.1_ úkol </vt:lpstr>
      <vt:lpstr>KPI</vt:lpstr>
      <vt:lpstr>č.3_Segmentace zákazníků</vt:lpstr>
      <vt:lpstr>č.5 Korelace</vt:lpstr>
      <vt:lpstr>č.5Korelace_b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2026-04-16T10:40:39Z</dcterms:created>
  <dcterms:modified xsi:type="dcterms:W3CDTF">2026-04-16T21:29:00Z</dcterms:modified>
</cp:coreProperties>
</file>